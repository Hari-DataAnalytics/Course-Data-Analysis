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timelines/timeline1.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3.xml" ContentType="application/vnd.ms-excel.slicer+xml"/>
  <Override PartName="/xl/timelines/timeline2.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ronga\Downloads\excel\"/>
    </mc:Choice>
  </mc:AlternateContent>
  <xr:revisionPtr revIDLastSave="0" documentId="13_ncr:1_{02C80B90-80CA-4ED2-B802-015B52BE9DF9}" xr6:coauthVersionLast="47" xr6:coauthVersionMax="47" xr10:uidLastSave="{00000000-0000-0000-0000-000000000000}"/>
  <bookViews>
    <workbookView xWindow="-108" yWindow="-108" windowWidth="23256" windowHeight="12456" firstSheet="1" activeTab="9" xr2:uid="{00000000-000D-0000-FFFF-FFFF00000000}"/>
  </bookViews>
  <sheets>
    <sheet name="Course Data" sheetId="1" r:id="rId1"/>
    <sheet name="Sheet6" sheetId="7" r:id="rId2"/>
    <sheet name="Sheet5" sheetId="6" r:id="rId3"/>
    <sheet name="Sheet1" sheetId="2" r:id="rId4"/>
    <sheet name="Sheet2" sheetId="3" r:id="rId5"/>
    <sheet name="Sheet3" sheetId="4" r:id="rId6"/>
    <sheet name="Detail1" sheetId="9" r:id="rId7"/>
    <sheet name="Sheet4" sheetId="5" r:id="rId8"/>
    <sheet name="Sheet8" sheetId="10" r:id="rId9"/>
    <sheet name="dashboard" sheetId="8" r:id="rId10"/>
  </sheets>
  <definedNames>
    <definedName name="NativeTimeline_Date">#N/A</definedName>
    <definedName name="Slicer_Category">#N/A</definedName>
    <definedName name="Slicer_Course_Name1">#N/A</definedName>
    <definedName name="Slicer_Stat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6" i="6" l="1"/>
  <c r="C28" i="10"/>
  <c r="D19" i="6"/>
  <c r="C25" i="10"/>
  <c r="C22" i="10"/>
  <c r="D15" i="6"/>
</calcChain>
</file>

<file path=xl/sharedStrings.xml><?xml version="1.0" encoding="utf-8"?>
<sst xmlns="http://schemas.openxmlformats.org/spreadsheetml/2006/main" count="1061" uniqueCount="43">
  <si>
    <t>Date</t>
  </si>
  <si>
    <t>Course Name</t>
  </si>
  <si>
    <t>Instructor</t>
  </si>
  <si>
    <t>Category</t>
  </si>
  <si>
    <t xml:space="preserve">State </t>
  </si>
  <si>
    <t>Revenue USD</t>
  </si>
  <si>
    <t>Enrollments</t>
  </si>
  <si>
    <t>Excel</t>
  </si>
  <si>
    <t>Power Bi</t>
  </si>
  <si>
    <t>Python</t>
  </si>
  <si>
    <t>SQL Server</t>
  </si>
  <si>
    <t>Alteryx</t>
  </si>
  <si>
    <t>Emily Davis</t>
  </si>
  <si>
    <t>John Miller</t>
  </si>
  <si>
    <t>CSNR</t>
  </si>
  <si>
    <t>Business</t>
  </si>
  <si>
    <t>Data</t>
  </si>
  <si>
    <t>Technology</t>
  </si>
  <si>
    <t>Finance</t>
  </si>
  <si>
    <t>Washington</t>
  </si>
  <si>
    <t>Florida</t>
  </si>
  <si>
    <t>New York</t>
  </si>
  <si>
    <t>California</t>
  </si>
  <si>
    <t>Illinois</t>
  </si>
  <si>
    <t>Texas</t>
  </si>
  <si>
    <t>VBA Macros</t>
  </si>
  <si>
    <t>Vara</t>
  </si>
  <si>
    <t>David Brown</t>
  </si>
  <si>
    <t>Sarah John Miller</t>
  </si>
  <si>
    <t>Row Labels</t>
  </si>
  <si>
    <t>Grand Total</t>
  </si>
  <si>
    <t>Sum of Revenue USD</t>
  </si>
  <si>
    <t>Jan</t>
  </si>
  <si>
    <t>Feb</t>
  </si>
  <si>
    <t>Mar</t>
  </si>
  <si>
    <t>Apr</t>
  </si>
  <si>
    <t>May</t>
  </si>
  <si>
    <t>Jun</t>
  </si>
  <si>
    <t>Count of Course Name</t>
  </si>
  <si>
    <t>Count of Enrollments</t>
  </si>
  <si>
    <t>Total Revenue</t>
  </si>
  <si>
    <t>Details for Sum of Revenue USD - Category: Data</t>
  </si>
  <si>
    <t>Sum of Enrollments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</si>
</sst>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k"/>
  </numFmts>
  <fonts count="5" x14ac:knownFonts="1">
    <font>
      <sz val="11"/>
      <color theme="1"/>
      <name val="Calibri"/>
      <family val="2"/>
      <scheme val="minor"/>
    </font>
    <font>
      <b/>
      <sz val="11"/>
      <color theme="0"/>
      <name val="Calibri"/>
      <family val="2"/>
      <scheme val="minor"/>
    </font>
    <font>
      <b/>
      <sz val="12"/>
      <color theme="1"/>
      <name val="Calibri"/>
      <family val="2"/>
      <scheme val="minor"/>
    </font>
    <font>
      <b/>
      <sz val="18"/>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21">
    <xf numFmtId="0" fontId="0" fillId="0" borderId="0" xfId="0"/>
    <xf numFmtId="0" fontId="0" fillId="3" borderId="2" xfId="0" applyFill="1" applyBorder="1"/>
    <xf numFmtId="0" fontId="0" fillId="3"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164" fontId="0" fillId="3" borderId="4" xfId="0" applyNumberFormat="1" applyFill="1" applyBorder="1"/>
    <xf numFmtId="0" fontId="0" fillId="3" borderId="5" xfId="0" applyFill="1" applyBorder="1"/>
    <xf numFmtId="0" fontId="0" fillId="3" borderId="6" xfId="0" applyFill="1" applyBorder="1"/>
    <xf numFmtId="164" fontId="0" fillId="0" borderId="4" xfId="0" applyNumberFormat="1" applyBorder="1"/>
    <xf numFmtId="0" fontId="0" fillId="0" borderId="5" xfId="0" applyBorder="1"/>
    <xf numFmtId="0" fontId="0" fillId="0" borderId="6" xfId="0" applyBorder="1"/>
    <xf numFmtId="164" fontId="0" fillId="3" borderId="1" xfId="0" applyNumberFormat="1" applyFill="1" applyBorder="1"/>
    <xf numFmtId="0" fontId="0" fillId="0" borderId="0" xfId="0" pivotButton="1"/>
    <xf numFmtId="0" fontId="0" fillId="0" borderId="0" xfId="0" applyAlignment="1">
      <alignment horizontal="left"/>
    </xf>
    <xf numFmtId="2" fontId="0" fillId="0" borderId="0" xfId="0" applyNumberFormat="1"/>
    <xf numFmtId="0" fontId="2" fillId="0" borderId="0" xfId="0" applyFont="1"/>
    <xf numFmtId="165" fontId="3" fillId="0" borderId="0" xfId="0" applyNumberFormat="1" applyFont="1"/>
    <xf numFmtId="0" fontId="4" fillId="0" borderId="0" xfId="0" applyFont="1"/>
    <xf numFmtId="165" fontId="0" fillId="0" borderId="0" xfId="0" applyNumberFormat="1"/>
    <xf numFmtId="0" fontId="0" fillId="0" borderId="0" xfId="0" applyNumberFormat="1"/>
  </cellXfs>
  <cellStyles count="1">
    <cellStyle name="Normal" xfId="0" builtinId="0"/>
  </cellStyles>
  <dxfs count="5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m/d/yyyy"/>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Courses Data.xlsx]Sheet5!PivotTable1</c:name>
    <c:fmtId val="4"/>
  </c:pivotSource>
  <c:chart>
    <c:title>
      <c:tx>
        <c:rich>
          <a:bodyPr rot="0" spcFirstLastPara="1" vertOverflow="ellipsis" vert="horz" wrap="square" anchor="ctr" anchorCtr="1"/>
          <a:lstStyle/>
          <a:p>
            <a:pPr>
              <a:defRPr sz="1400" b="1" i="0" u="none" strike="noStrike" kern="1200" spc="0" baseline="0">
                <a:solidFill>
                  <a:schemeClr val="accent4"/>
                </a:solidFill>
                <a:latin typeface="+mn-lt"/>
                <a:ea typeface="+mn-ea"/>
                <a:cs typeface="+mn-cs"/>
              </a:defRPr>
            </a:pPr>
            <a:r>
              <a:rPr lang="en-IN" b="1">
                <a:solidFill>
                  <a:schemeClr val="tx1"/>
                </a:solidFill>
              </a:rPr>
              <a:t>Catgory</a:t>
            </a:r>
            <a:r>
              <a:rPr lang="en-IN" b="1" baseline="0">
                <a:solidFill>
                  <a:schemeClr val="tx1"/>
                </a:solidFill>
              </a:rPr>
              <a:t> Wise Revenue</a:t>
            </a:r>
            <a:r>
              <a:rPr lang="en-IN" b="1">
                <a:solidFill>
                  <a:schemeClr val="tx1"/>
                </a:solidFill>
              </a:rPr>
              <a:t>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2624959708983747"/>
          <c:y val="0.28024025842923483"/>
          <c:w val="0.45978179536768432"/>
          <c:h val="0.64510922673127402"/>
        </c:manualLayout>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87-4AFF-8B37-E99A4ABCD86E}"/>
              </c:ext>
            </c:extLst>
          </c:dPt>
          <c:dPt>
            <c:idx val="1"/>
            <c:bubble3D val="0"/>
            <c:explosion val="4"/>
            <c:spPr>
              <a:solidFill>
                <a:schemeClr val="accent2"/>
              </a:solidFill>
              <a:ln w="19050">
                <a:solidFill>
                  <a:schemeClr val="lt1"/>
                </a:solidFill>
              </a:ln>
              <a:effectLst/>
            </c:spPr>
            <c:extLst>
              <c:ext xmlns:c16="http://schemas.microsoft.com/office/drawing/2014/chart" uri="{C3380CC4-5D6E-409C-BE32-E72D297353CC}">
                <c16:uniqueId val="{00000003-B387-4AFF-8B37-E99A4ABCD86E}"/>
              </c:ext>
            </c:extLst>
          </c:dPt>
          <c:dPt>
            <c:idx val="2"/>
            <c:bubble3D val="0"/>
            <c:explosion val="8"/>
            <c:spPr>
              <a:solidFill>
                <a:schemeClr val="accent3"/>
              </a:solidFill>
              <a:ln w="19050">
                <a:solidFill>
                  <a:schemeClr val="lt1"/>
                </a:solidFill>
              </a:ln>
              <a:effectLst/>
            </c:spPr>
            <c:extLst>
              <c:ext xmlns:c16="http://schemas.microsoft.com/office/drawing/2014/chart" uri="{C3380CC4-5D6E-409C-BE32-E72D297353CC}">
                <c16:uniqueId val="{00000005-B387-4AFF-8B37-E99A4ABCD86E}"/>
              </c:ext>
            </c:extLst>
          </c:dPt>
          <c:dPt>
            <c:idx val="3"/>
            <c:bubble3D val="0"/>
            <c:explosion val="13"/>
            <c:spPr>
              <a:solidFill>
                <a:schemeClr val="accent4"/>
              </a:solidFill>
              <a:ln w="19050">
                <a:solidFill>
                  <a:schemeClr val="lt1"/>
                </a:solidFill>
              </a:ln>
              <a:effectLst/>
            </c:spPr>
            <c:extLst>
              <c:ext xmlns:c16="http://schemas.microsoft.com/office/drawing/2014/chart" uri="{C3380CC4-5D6E-409C-BE32-E72D297353CC}">
                <c16:uniqueId val="{00000007-B387-4AFF-8B37-E99A4ABCD86E}"/>
              </c:ext>
            </c:extLst>
          </c:dPt>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Sheet5!$A$4:$A$5</c:f>
              <c:strCache>
                <c:ptCount val="1"/>
                <c:pt idx="0">
                  <c:v>Business</c:v>
                </c:pt>
              </c:strCache>
            </c:strRef>
          </c:cat>
          <c:val>
            <c:numRef>
              <c:f>Sheet5!$B$4:$B$5</c:f>
              <c:numCache>
                <c:formatCode>0.00</c:formatCode>
                <c:ptCount val="1"/>
                <c:pt idx="0">
                  <c:v>154297</c:v>
                </c:pt>
              </c:numCache>
            </c:numRef>
          </c:val>
          <c:extLst>
            <c:ext xmlns:c16="http://schemas.microsoft.com/office/drawing/2014/chart" uri="{C3380CC4-5D6E-409C-BE32-E72D297353CC}">
              <c16:uniqueId val="{00000008-B387-4AFF-8B37-E99A4ABCD86E}"/>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noFill/>
      <a:round/>
    </a:ln>
    <a:effectLst>
      <a:glow rad="63500">
        <a:schemeClr val="accent1">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Courses Data.xlsx]Sheet1!PivotTable2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State Wise Revenue</a:t>
            </a:r>
          </a:p>
        </c:rich>
      </c:tx>
      <c:layout>
        <c:manualLayout>
          <c:xMode val="edge"/>
          <c:yMode val="edge"/>
          <c:x val="0.34764472391245549"/>
          <c:y val="2.97538629260620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Sheet1!$B$5</c:f>
              <c:strCache>
                <c:ptCount val="1"/>
                <c:pt idx="0">
                  <c:v>Total</c:v>
                </c:pt>
              </c:strCache>
            </c:strRef>
          </c:tx>
          <c:spPr>
            <a:solidFill>
              <a:schemeClr val="accent2"/>
            </a:solidFill>
            <a:ln>
              <a:noFill/>
            </a:ln>
            <a:effectLst/>
          </c:spPr>
          <c:invertIfNegative val="0"/>
          <c:cat>
            <c:strRef>
              <c:f>Sheet1!$A$6:$A$12</c:f>
              <c:strCache>
                <c:ptCount val="6"/>
                <c:pt idx="0">
                  <c:v>California</c:v>
                </c:pt>
                <c:pt idx="1">
                  <c:v>Florida</c:v>
                </c:pt>
                <c:pt idx="2">
                  <c:v>Illinois</c:v>
                </c:pt>
                <c:pt idx="3">
                  <c:v>New York</c:v>
                </c:pt>
                <c:pt idx="4">
                  <c:v>Texas</c:v>
                </c:pt>
                <c:pt idx="5">
                  <c:v>Washington</c:v>
                </c:pt>
              </c:strCache>
            </c:strRef>
          </c:cat>
          <c:val>
            <c:numRef>
              <c:f>Sheet1!$B$6:$B$12</c:f>
              <c:numCache>
                <c:formatCode>General</c:formatCode>
                <c:ptCount val="6"/>
                <c:pt idx="0">
                  <c:v>22134</c:v>
                </c:pt>
                <c:pt idx="1">
                  <c:v>23822</c:v>
                </c:pt>
                <c:pt idx="2">
                  <c:v>29415</c:v>
                </c:pt>
                <c:pt idx="3">
                  <c:v>20906</c:v>
                </c:pt>
                <c:pt idx="4">
                  <c:v>33575</c:v>
                </c:pt>
                <c:pt idx="5">
                  <c:v>24445</c:v>
                </c:pt>
              </c:numCache>
            </c:numRef>
          </c:val>
          <c:extLst>
            <c:ext xmlns:c16="http://schemas.microsoft.com/office/drawing/2014/chart" uri="{C3380CC4-5D6E-409C-BE32-E72D297353CC}">
              <c16:uniqueId val="{00000000-0D0A-4441-8E90-59882C7AEA9B}"/>
            </c:ext>
          </c:extLst>
        </c:ser>
        <c:dLbls>
          <c:showLegendKey val="0"/>
          <c:showVal val="0"/>
          <c:showCatName val="0"/>
          <c:showSerName val="0"/>
          <c:showPercent val="0"/>
          <c:showBubbleSize val="0"/>
        </c:dLbls>
        <c:gapWidth val="182"/>
        <c:axId val="1418197951"/>
        <c:axId val="1418196991"/>
      </c:barChart>
      <c:catAx>
        <c:axId val="1418197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18196991"/>
        <c:crosses val="autoZero"/>
        <c:auto val="1"/>
        <c:lblAlgn val="ctr"/>
        <c:lblOffset val="100"/>
        <c:noMultiLvlLbl val="0"/>
      </c:catAx>
      <c:valAx>
        <c:axId val="1418196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41819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Courses Data.xlsx]Sheet2!PivotTable4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 wise Revenue</a:t>
            </a:r>
          </a:p>
        </c:rich>
      </c:tx>
      <c:layout>
        <c:manualLayout>
          <c:xMode val="edge"/>
          <c:yMode val="edge"/>
          <c:x val="0.3313888888888889"/>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16708333333333336"/>
          <c:w val="0.85219685039370074"/>
          <c:h val="0.72088764946048411"/>
        </c:manualLayout>
      </c:layout>
      <c:lineChart>
        <c:grouping val="standard"/>
        <c:varyColors val="0"/>
        <c:ser>
          <c:idx val="0"/>
          <c:order val="0"/>
          <c:tx>
            <c:strRef>
              <c:f>Sheet2!$C$8</c:f>
              <c:strCache>
                <c:ptCount val="1"/>
                <c:pt idx="0">
                  <c:v>Total</c:v>
                </c:pt>
              </c:strCache>
            </c:strRef>
          </c:tx>
          <c:spPr>
            <a:ln w="28575" cap="rnd">
              <a:solidFill>
                <a:schemeClr val="accent2"/>
              </a:solidFill>
              <a:round/>
            </a:ln>
            <a:effectLst/>
          </c:spPr>
          <c:marker>
            <c:symbol val="none"/>
          </c:marker>
          <c:cat>
            <c:strRef>
              <c:f>Sheet2!$B$9:$B$15</c:f>
              <c:strCache>
                <c:ptCount val="6"/>
                <c:pt idx="0">
                  <c:v>Jan</c:v>
                </c:pt>
                <c:pt idx="1">
                  <c:v>Feb</c:v>
                </c:pt>
                <c:pt idx="2">
                  <c:v>Mar</c:v>
                </c:pt>
                <c:pt idx="3">
                  <c:v>Apr</c:v>
                </c:pt>
                <c:pt idx="4">
                  <c:v>May</c:v>
                </c:pt>
                <c:pt idx="5">
                  <c:v>Jun</c:v>
                </c:pt>
              </c:strCache>
            </c:strRef>
          </c:cat>
          <c:val>
            <c:numRef>
              <c:f>Sheet2!$C$9:$C$15</c:f>
              <c:numCache>
                <c:formatCode>General</c:formatCode>
                <c:ptCount val="6"/>
                <c:pt idx="0">
                  <c:v>22620</c:v>
                </c:pt>
                <c:pt idx="1">
                  <c:v>19509</c:v>
                </c:pt>
                <c:pt idx="2">
                  <c:v>38282</c:v>
                </c:pt>
                <c:pt idx="3">
                  <c:v>21676</c:v>
                </c:pt>
                <c:pt idx="4">
                  <c:v>37019</c:v>
                </c:pt>
                <c:pt idx="5">
                  <c:v>15191</c:v>
                </c:pt>
              </c:numCache>
            </c:numRef>
          </c:val>
          <c:smooth val="0"/>
          <c:extLst>
            <c:ext xmlns:c16="http://schemas.microsoft.com/office/drawing/2014/chart" uri="{C3380CC4-5D6E-409C-BE32-E72D297353CC}">
              <c16:uniqueId val="{00000000-ECD9-48AF-81AB-BEB9888CFEBF}"/>
            </c:ext>
          </c:extLst>
        </c:ser>
        <c:dLbls>
          <c:showLegendKey val="0"/>
          <c:showVal val="0"/>
          <c:showCatName val="0"/>
          <c:showSerName val="0"/>
          <c:showPercent val="0"/>
          <c:showBubbleSize val="0"/>
        </c:dLbls>
        <c:smooth val="0"/>
        <c:axId val="1461350847"/>
        <c:axId val="1461351327"/>
      </c:lineChart>
      <c:catAx>
        <c:axId val="146135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461351327"/>
        <c:crosses val="autoZero"/>
        <c:auto val="1"/>
        <c:lblAlgn val="ctr"/>
        <c:lblOffset val="100"/>
        <c:noMultiLvlLbl val="0"/>
      </c:catAx>
      <c:valAx>
        <c:axId val="1461351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46135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a:softEdge rad="127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Courses Data.xlsx]Sheet3!PivotTable5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Instructer</a:t>
            </a:r>
            <a:r>
              <a:rPr lang="en-US" b="1" baseline="0">
                <a:solidFill>
                  <a:schemeClr val="tx1"/>
                </a:solidFill>
              </a:rPr>
              <a:t> wi</a:t>
            </a:r>
            <a:r>
              <a:rPr lang="en-US" b="1">
                <a:solidFill>
                  <a:schemeClr val="tx1"/>
                </a:solidFill>
              </a:rPr>
              <a:t>se revenue</a:t>
            </a:r>
          </a:p>
        </c:rich>
      </c:tx>
      <c:layout>
        <c:manualLayout>
          <c:xMode val="edge"/>
          <c:yMode val="edge"/>
          <c:x val="0.3725555555555555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247594050743659E-2"/>
          <c:y val="0.19242678428083088"/>
          <c:w val="0.90286351706036749"/>
          <c:h val="0.67003098571011954"/>
        </c:manualLayout>
      </c:layout>
      <c:barChart>
        <c:barDir val="col"/>
        <c:grouping val="clustered"/>
        <c:varyColors val="0"/>
        <c:ser>
          <c:idx val="0"/>
          <c:order val="0"/>
          <c:tx>
            <c:strRef>
              <c:f>Sheet3!$B$7</c:f>
              <c:strCache>
                <c:ptCount val="1"/>
                <c:pt idx="0">
                  <c:v>Total</c:v>
                </c:pt>
              </c:strCache>
            </c:strRef>
          </c:tx>
          <c:spPr>
            <a:solidFill>
              <a:schemeClr val="accent2">
                <a:lumMod val="75000"/>
              </a:schemeClr>
            </a:solidFill>
            <a:ln>
              <a:noFill/>
            </a:ln>
            <a:effectLst/>
          </c:spPr>
          <c:invertIfNegative val="0"/>
          <c:cat>
            <c:strRef>
              <c:f>Sheet3!$A$8:$A$14</c:f>
              <c:strCache>
                <c:ptCount val="6"/>
                <c:pt idx="0">
                  <c:v>CSNR</c:v>
                </c:pt>
                <c:pt idx="1">
                  <c:v>David Brown</c:v>
                </c:pt>
                <c:pt idx="2">
                  <c:v>Emily Davis</c:v>
                </c:pt>
                <c:pt idx="3">
                  <c:v>John Miller</c:v>
                </c:pt>
                <c:pt idx="4">
                  <c:v>Sarah John Miller</c:v>
                </c:pt>
                <c:pt idx="5">
                  <c:v>Vara</c:v>
                </c:pt>
              </c:strCache>
            </c:strRef>
          </c:cat>
          <c:val>
            <c:numRef>
              <c:f>Sheet3!$B$8:$B$14</c:f>
              <c:numCache>
                <c:formatCode>General</c:formatCode>
                <c:ptCount val="6"/>
                <c:pt idx="0">
                  <c:v>15748</c:v>
                </c:pt>
                <c:pt idx="1">
                  <c:v>26839</c:v>
                </c:pt>
                <c:pt idx="2">
                  <c:v>17275</c:v>
                </c:pt>
                <c:pt idx="3">
                  <c:v>27584</c:v>
                </c:pt>
                <c:pt idx="4">
                  <c:v>37566</c:v>
                </c:pt>
                <c:pt idx="5">
                  <c:v>29285</c:v>
                </c:pt>
              </c:numCache>
            </c:numRef>
          </c:val>
          <c:extLst>
            <c:ext xmlns:c16="http://schemas.microsoft.com/office/drawing/2014/chart" uri="{C3380CC4-5D6E-409C-BE32-E72D297353CC}">
              <c16:uniqueId val="{00000001-D972-4EE4-88E5-B32D306F1766}"/>
            </c:ext>
          </c:extLst>
        </c:ser>
        <c:dLbls>
          <c:showLegendKey val="0"/>
          <c:showVal val="0"/>
          <c:showCatName val="0"/>
          <c:showSerName val="0"/>
          <c:showPercent val="0"/>
          <c:showBubbleSize val="0"/>
        </c:dLbls>
        <c:gapWidth val="219"/>
        <c:overlap val="-27"/>
        <c:axId val="1574133247"/>
        <c:axId val="1574134207"/>
      </c:barChart>
      <c:catAx>
        <c:axId val="157413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574134207"/>
        <c:crosses val="autoZero"/>
        <c:auto val="1"/>
        <c:lblAlgn val="ctr"/>
        <c:lblOffset val="100"/>
        <c:noMultiLvlLbl val="0"/>
      </c:catAx>
      <c:valAx>
        <c:axId val="1574134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57413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Courses Data.xlsx]Sheet5!PivotTable1</c:name>
    <c:fmtId val="0"/>
  </c:pivotSource>
  <c:chart>
    <c:title>
      <c:tx>
        <c:rich>
          <a:bodyPr rot="0" spcFirstLastPara="1" vertOverflow="ellipsis" vert="horz" wrap="square" anchor="ctr" anchorCtr="1"/>
          <a:lstStyle/>
          <a:p>
            <a:pPr>
              <a:defRPr sz="1400" b="1" i="0" u="none" strike="noStrike" kern="1200" spc="0" baseline="0">
                <a:solidFill>
                  <a:schemeClr val="accent4"/>
                </a:solidFill>
                <a:latin typeface="+mn-lt"/>
                <a:ea typeface="+mn-ea"/>
                <a:cs typeface="+mn-cs"/>
              </a:defRPr>
            </a:pPr>
            <a:r>
              <a:rPr lang="en-IN" b="1">
                <a:solidFill>
                  <a:schemeClr val="accent4"/>
                </a:solidFill>
              </a:rPr>
              <a:t>Catgory</a:t>
            </a:r>
            <a:r>
              <a:rPr lang="en-IN" b="1" baseline="0">
                <a:solidFill>
                  <a:schemeClr val="accent4"/>
                </a:solidFill>
              </a:rPr>
              <a:t> Wise Revenue</a:t>
            </a:r>
            <a:r>
              <a:rPr lang="en-IN" b="1">
                <a:solidFill>
                  <a:schemeClr val="accent4"/>
                </a:solidFill>
              </a:rPr>
              <a:t>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59-445B-980B-F6BC940FF3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59-445B-980B-F6BC940FF3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59-445B-980B-F6BC940FF3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59-445B-980B-F6BC940FF371}"/>
              </c:ext>
            </c:extLst>
          </c:dPt>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Sheet5!$A$4:$A$5</c:f>
              <c:strCache>
                <c:ptCount val="1"/>
                <c:pt idx="0">
                  <c:v>Business</c:v>
                </c:pt>
              </c:strCache>
            </c:strRef>
          </c:cat>
          <c:val>
            <c:numRef>
              <c:f>Sheet5!$B$4:$B$5</c:f>
              <c:numCache>
                <c:formatCode>0.00</c:formatCode>
                <c:ptCount val="1"/>
                <c:pt idx="0">
                  <c:v>154297</c:v>
                </c:pt>
              </c:numCache>
            </c:numRef>
          </c:val>
          <c:extLst>
            <c:ext xmlns:c16="http://schemas.microsoft.com/office/drawing/2014/chart" uri="{C3380CC4-5D6E-409C-BE32-E72D297353CC}">
              <c16:uniqueId val="{00000000-5FC5-4106-BA42-ED8F5E6258C3}"/>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Courses Data.xlsx]Sheet1!PivotTable2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solidFill>
              </a:rPr>
              <a:t>State Wise Revenue</a:t>
            </a:r>
          </a:p>
        </c:rich>
      </c:tx>
      <c:layout>
        <c:manualLayout>
          <c:xMode val="edge"/>
          <c:yMode val="edge"/>
          <c:x val="0.29922900262467189"/>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Sheet1!$B$5</c:f>
              <c:strCache>
                <c:ptCount val="1"/>
                <c:pt idx="0">
                  <c:v>Total</c:v>
                </c:pt>
              </c:strCache>
            </c:strRef>
          </c:tx>
          <c:spPr>
            <a:solidFill>
              <a:schemeClr val="accent1"/>
            </a:solidFill>
            <a:ln>
              <a:noFill/>
            </a:ln>
            <a:effectLst/>
          </c:spPr>
          <c:invertIfNegative val="0"/>
          <c:cat>
            <c:strRef>
              <c:f>Sheet1!$A$6:$A$12</c:f>
              <c:strCache>
                <c:ptCount val="6"/>
                <c:pt idx="0">
                  <c:v>California</c:v>
                </c:pt>
                <c:pt idx="1">
                  <c:v>Florida</c:v>
                </c:pt>
                <c:pt idx="2">
                  <c:v>Illinois</c:v>
                </c:pt>
                <c:pt idx="3">
                  <c:v>New York</c:v>
                </c:pt>
                <c:pt idx="4">
                  <c:v>Texas</c:v>
                </c:pt>
                <c:pt idx="5">
                  <c:v>Washington</c:v>
                </c:pt>
              </c:strCache>
            </c:strRef>
          </c:cat>
          <c:val>
            <c:numRef>
              <c:f>Sheet1!$B$6:$B$12</c:f>
              <c:numCache>
                <c:formatCode>General</c:formatCode>
                <c:ptCount val="6"/>
                <c:pt idx="0">
                  <c:v>22134</c:v>
                </c:pt>
                <c:pt idx="1">
                  <c:v>23822</c:v>
                </c:pt>
                <c:pt idx="2">
                  <c:v>29415</c:v>
                </c:pt>
                <c:pt idx="3">
                  <c:v>20906</c:v>
                </c:pt>
                <c:pt idx="4">
                  <c:v>33575</c:v>
                </c:pt>
                <c:pt idx="5">
                  <c:v>24445</c:v>
                </c:pt>
              </c:numCache>
            </c:numRef>
          </c:val>
          <c:extLst>
            <c:ext xmlns:c16="http://schemas.microsoft.com/office/drawing/2014/chart" uri="{C3380CC4-5D6E-409C-BE32-E72D297353CC}">
              <c16:uniqueId val="{00000002-5AA8-42A1-8FFA-E2C78824641D}"/>
            </c:ext>
          </c:extLst>
        </c:ser>
        <c:dLbls>
          <c:showLegendKey val="0"/>
          <c:showVal val="0"/>
          <c:showCatName val="0"/>
          <c:showSerName val="0"/>
          <c:showPercent val="0"/>
          <c:showBubbleSize val="0"/>
        </c:dLbls>
        <c:gapWidth val="182"/>
        <c:axId val="1418197951"/>
        <c:axId val="1418196991"/>
      </c:barChart>
      <c:catAx>
        <c:axId val="14181979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196991"/>
        <c:crosses val="autoZero"/>
        <c:auto val="1"/>
        <c:lblAlgn val="ctr"/>
        <c:lblOffset val="100"/>
        <c:noMultiLvlLbl val="0"/>
      </c:catAx>
      <c:valAx>
        <c:axId val="14181969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19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Courses Data.xlsx]Sheet2!PivotTable4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solidFill>
              </a:rPr>
              <a:t>Month wise Revenue</a:t>
            </a:r>
          </a:p>
        </c:rich>
      </c:tx>
      <c:layout>
        <c:manualLayout>
          <c:xMode val="edge"/>
          <c:yMode val="edge"/>
          <c:x val="0.3313888888888889"/>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Sheet2!$C$8</c:f>
              <c:strCache>
                <c:ptCount val="1"/>
                <c:pt idx="0">
                  <c:v>Total</c:v>
                </c:pt>
              </c:strCache>
            </c:strRef>
          </c:tx>
          <c:spPr>
            <a:ln w="28575" cap="rnd">
              <a:solidFill>
                <a:schemeClr val="accent1"/>
              </a:solidFill>
              <a:round/>
            </a:ln>
            <a:effectLst/>
          </c:spPr>
          <c:marker>
            <c:symbol val="none"/>
          </c:marker>
          <c:cat>
            <c:strRef>
              <c:f>Sheet2!$B$9:$B$15</c:f>
              <c:strCache>
                <c:ptCount val="6"/>
                <c:pt idx="0">
                  <c:v>Jan</c:v>
                </c:pt>
                <c:pt idx="1">
                  <c:v>Feb</c:v>
                </c:pt>
                <c:pt idx="2">
                  <c:v>Mar</c:v>
                </c:pt>
                <c:pt idx="3">
                  <c:v>Apr</c:v>
                </c:pt>
                <c:pt idx="4">
                  <c:v>May</c:v>
                </c:pt>
                <c:pt idx="5">
                  <c:v>Jun</c:v>
                </c:pt>
              </c:strCache>
            </c:strRef>
          </c:cat>
          <c:val>
            <c:numRef>
              <c:f>Sheet2!$C$9:$C$15</c:f>
              <c:numCache>
                <c:formatCode>General</c:formatCode>
                <c:ptCount val="6"/>
                <c:pt idx="0">
                  <c:v>22620</c:v>
                </c:pt>
                <c:pt idx="1">
                  <c:v>19509</c:v>
                </c:pt>
                <c:pt idx="2">
                  <c:v>38282</c:v>
                </c:pt>
                <c:pt idx="3">
                  <c:v>21676</c:v>
                </c:pt>
                <c:pt idx="4">
                  <c:v>37019</c:v>
                </c:pt>
                <c:pt idx="5">
                  <c:v>15191</c:v>
                </c:pt>
              </c:numCache>
            </c:numRef>
          </c:val>
          <c:smooth val="0"/>
          <c:extLst>
            <c:ext xmlns:c16="http://schemas.microsoft.com/office/drawing/2014/chart" uri="{C3380CC4-5D6E-409C-BE32-E72D297353CC}">
              <c16:uniqueId val="{00000000-DA7E-483B-8F72-1672CF88BC13}"/>
            </c:ext>
          </c:extLst>
        </c:ser>
        <c:dLbls>
          <c:showLegendKey val="0"/>
          <c:showVal val="0"/>
          <c:showCatName val="0"/>
          <c:showSerName val="0"/>
          <c:showPercent val="0"/>
          <c:showBubbleSize val="0"/>
        </c:dLbls>
        <c:smooth val="0"/>
        <c:axId val="1461350847"/>
        <c:axId val="1461351327"/>
      </c:lineChart>
      <c:catAx>
        <c:axId val="146135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351327"/>
        <c:crosses val="autoZero"/>
        <c:auto val="1"/>
        <c:lblAlgn val="ctr"/>
        <c:lblOffset val="100"/>
        <c:noMultiLvlLbl val="0"/>
      </c:catAx>
      <c:valAx>
        <c:axId val="1461351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35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Courses Data.xlsx]Sheet3!PivotTable5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solidFill>
              </a:rPr>
              <a:t>Num of Enrollments</a:t>
            </a:r>
          </a:p>
        </c:rich>
      </c:tx>
      <c:layout>
        <c:manualLayout>
          <c:xMode val="edge"/>
          <c:yMode val="edge"/>
          <c:x val="0.3725555555555555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Sheet3!$B$7</c:f>
              <c:strCache>
                <c:ptCount val="1"/>
                <c:pt idx="0">
                  <c:v>Total</c:v>
                </c:pt>
              </c:strCache>
            </c:strRef>
          </c:tx>
          <c:spPr>
            <a:solidFill>
              <a:schemeClr val="accent1"/>
            </a:solidFill>
            <a:ln>
              <a:noFill/>
            </a:ln>
            <a:effectLst/>
          </c:spPr>
          <c:invertIfNegative val="0"/>
          <c:cat>
            <c:strRef>
              <c:f>Sheet3!$A$8:$A$14</c:f>
              <c:strCache>
                <c:ptCount val="6"/>
                <c:pt idx="0">
                  <c:v>CSNR</c:v>
                </c:pt>
                <c:pt idx="1">
                  <c:v>David Brown</c:v>
                </c:pt>
                <c:pt idx="2">
                  <c:v>Emily Davis</c:v>
                </c:pt>
                <c:pt idx="3">
                  <c:v>John Miller</c:v>
                </c:pt>
                <c:pt idx="4">
                  <c:v>Sarah John Miller</c:v>
                </c:pt>
                <c:pt idx="5">
                  <c:v>Vara</c:v>
                </c:pt>
              </c:strCache>
            </c:strRef>
          </c:cat>
          <c:val>
            <c:numRef>
              <c:f>Sheet3!$B$8:$B$14</c:f>
              <c:numCache>
                <c:formatCode>General</c:formatCode>
                <c:ptCount val="6"/>
                <c:pt idx="0">
                  <c:v>15748</c:v>
                </c:pt>
                <c:pt idx="1">
                  <c:v>26839</c:v>
                </c:pt>
                <c:pt idx="2">
                  <c:v>17275</c:v>
                </c:pt>
                <c:pt idx="3">
                  <c:v>27584</c:v>
                </c:pt>
                <c:pt idx="4">
                  <c:v>37566</c:v>
                </c:pt>
                <c:pt idx="5">
                  <c:v>29285</c:v>
                </c:pt>
              </c:numCache>
            </c:numRef>
          </c:val>
          <c:extLst>
            <c:ext xmlns:c16="http://schemas.microsoft.com/office/drawing/2014/chart" uri="{C3380CC4-5D6E-409C-BE32-E72D297353CC}">
              <c16:uniqueId val="{00000002-EBB6-4C9E-AF64-9FF22174DD03}"/>
            </c:ext>
          </c:extLst>
        </c:ser>
        <c:dLbls>
          <c:showLegendKey val="0"/>
          <c:showVal val="0"/>
          <c:showCatName val="0"/>
          <c:showSerName val="0"/>
          <c:showPercent val="0"/>
          <c:showBubbleSize val="0"/>
        </c:dLbls>
        <c:gapWidth val="219"/>
        <c:overlap val="-27"/>
        <c:axId val="1574133247"/>
        <c:axId val="1574134207"/>
      </c:barChart>
      <c:catAx>
        <c:axId val="157413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34207"/>
        <c:crosses val="autoZero"/>
        <c:auto val="1"/>
        <c:lblAlgn val="ctr"/>
        <c:lblOffset val="100"/>
        <c:noMultiLvlLbl val="0"/>
      </c:catAx>
      <c:valAx>
        <c:axId val="1574134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3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Courses Data.xlsx]Sheet8!PivotTable7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Course</a:t>
            </a:r>
            <a:r>
              <a:rPr lang="en-US" baseline="0"/>
              <a:t> 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Sheet8!$B$12</c:f>
              <c:strCache>
                <c:ptCount val="1"/>
                <c:pt idx="0">
                  <c:v>Total</c:v>
                </c:pt>
              </c:strCache>
            </c:strRef>
          </c:tx>
          <c:spPr>
            <a:solidFill>
              <a:schemeClr val="accent1"/>
            </a:solidFill>
            <a:ln>
              <a:noFill/>
            </a:ln>
            <a:effectLst/>
            <a:sp3d/>
          </c:spPr>
          <c:invertIfNegative val="0"/>
          <c:cat>
            <c:strRef>
              <c:f>Sheet8!$A$13:$A$19</c:f>
              <c:strCache>
                <c:ptCount val="6"/>
                <c:pt idx="0">
                  <c:v>Alteryx</c:v>
                </c:pt>
                <c:pt idx="1">
                  <c:v>Excel</c:v>
                </c:pt>
                <c:pt idx="2">
                  <c:v>Power Bi</c:v>
                </c:pt>
                <c:pt idx="3">
                  <c:v>Python</c:v>
                </c:pt>
                <c:pt idx="4">
                  <c:v>SQL Server</c:v>
                </c:pt>
                <c:pt idx="5">
                  <c:v>VBA Macros</c:v>
                </c:pt>
              </c:strCache>
            </c:strRef>
          </c:cat>
          <c:val>
            <c:numRef>
              <c:f>Sheet8!$B$13:$B$19</c:f>
              <c:numCache>
                <c:formatCode>General</c:formatCode>
                <c:ptCount val="6"/>
                <c:pt idx="0">
                  <c:v>31497</c:v>
                </c:pt>
                <c:pt idx="1">
                  <c:v>19989</c:v>
                </c:pt>
                <c:pt idx="2">
                  <c:v>17281</c:v>
                </c:pt>
                <c:pt idx="3">
                  <c:v>22355</c:v>
                </c:pt>
                <c:pt idx="4">
                  <c:v>36491</c:v>
                </c:pt>
                <c:pt idx="5">
                  <c:v>26684</c:v>
                </c:pt>
              </c:numCache>
            </c:numRef>
          </c:val>
          <c:extLst>
            <c:ext xmlns:c16="http://schemas.microsoft.com/office/drawing/2014/chart" uri="{C3380CC4-5D6E-409C-BE32-E72D297353CC}">
              <c16:uniqueId val="{00000000-D13D-4598-8F3C-8D43E264051D}"/>
            </c:ext>
          </c:extLst>
        </c:ser>
        <c:dLbls>
          <c:showLegendKey val="0"/>
          <c:showVal val="0"/>
          <c:showCatName val="0"/>
          <c:showSerName val="0"/>
          <c:showPercent val="0"/>
          <c:showBubbleSize val="0"/>
        </c:dLbls>
        <c:gapWidth val="150"/>
        <c:shape val="box"/>
        <c:axId val="673141903"/>
        <c:axId val="673143343"/>
        <c:axId val="0"/>
      </c:bar3DChart>
      <c:catAx>
        <c:axId val="67314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143343"/>
        <c:crosses val="autoZero"/>
        <c:auto val="1"/>
        <c:lblAlgn val="ctr"/>
        <c:lblOffset val="100"/>
        <c:noMultiLvlLbl val="0"/>
      </c:catAx>
      <c:valAx>
        <c:axId val="673143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14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Courses Data.xlsx]Sheet8!PivotTable6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 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Total</c:v>
                </c:pt>
              </c:strCache>
            </c:strRef>
          </c:tx>
          <c:spPr>
            <a:solidFill>
              <a:schemeClr val="accent1"/>
            </a:solidFill>
            <a:ln>
              <a:noFill/>
            </a:ln>
            <a:effectLst/>
            <a:sp3d/>
          </c:spPr>
          <c:invertIfNegative val="0"/>
          <c:cat>
            <c:strRef>
              <c:f>Sheet8!$A$4:$A$10</c:f>
              <c:strCache>
                <c:ptCount val="6"/>
                <c:pt idx="0">
                  <c:v>California</c:v>
                </c:pt>
                <c:pt idx="1">
                  <c:v>Florida</c:v>
                </c:pt>
                <c:pt idx="2">
                  <c:v>Illinois</c:v>
                </c:pt>
                <c:pt idx="3">
                  <c:v>New York</c:v>
                </c:pt>
                <c:pt idx="4">
                  <c:v>Texas</c:v>
                </c:pt>
                <c:pt idx="5">
                  <c:v>Washington</c:v>
                </c:pt>
              </c:strCache>
            </c:strRef>
          </c:cat>
          <c:val>
            <c:numRef>
              <c:f>Sheet8!$B$4:$B$10</c:f>
              <c:numCache>
                <c:formatCode>General</c:formatCode>
                <c:ptCount val="6"/>
                <c:pt idx="0">
                  <c:v>22134</c:v>
                </c:pt>
                <c:pt idx="1">
                  <c:v>23822</c:v>
                </c:pt>
                <c:pt idx="2">
                  <c:v>29415</c:v>
                </c:pt>
                <c:pt idx="3">
                  <c:v>20906</c:v>
                </c:pt>
                <c:pt idx="4">
                  <c:v>33575</c:v>
                </c:pt>
                <c:pt idx="5">
                  <c:v>24445</c:v>
                </c:pt>
              </c:numCache>
            </c:numRef>
          </c:val>
          <c:extLst>
            <c:ext xmlns:c16="http://schemas.microsoft.com/office/drawing/2014/chart" uri="{C3380CC4-5D6E-409C-BE32-E72D297353CC}">
              <c16:uniqueId val="{00000000-2718-4709-9ADE-7C786C26FE7D}"/>
            </c:ext>
          </c:extLst>
        </c:ser>
        <c:dLbls>
          <c:showLegendKey val="0"/>
          <c:showVal val="0"/>
          <c:showCatName val="0"/>
          <c:showSerName val="0"/>
          <c:showPercent val="0"/>
          <c:showBubbleSize val="0"/>
        </c:dLbls>
        <c:gapWidth val="150"/>
        <c:shape val="box"/>
        <c:axId val="673134703"/>
        <c:axId val="673136623"/>
        <c:axId val="0"/>
      </c:bar3DChart>
      <c:catAx>
        <c:axId val="673134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136623"/>
        <c:crosses val="autoZero"/>
        <c:auto val="1"/>
        <c:lblAlgn val="ctr"/>
        <c:lblOffset val="100"/>
        <c:noMultiLvlLbl val="0"/>
      </c:catAx>
      <c:valAx>
        <c:axId val="673136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13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[Online Courses Data.xlsx]Sheet8!PivotTable7</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Course</a:t>
            </a:r>
            <a:r>
              <a:rPr lang="en-US" b="1" baseline="0"/>
              <a:t> wise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199871478704271"/>
          <c:y val="0.18804930332261521"/>
          <c:w val="0.78178137979285722"/>
          <c:h val="0.68762986218362565"/>
        </c:manualLayout>
      </c:layout>
      <c:bar3DChart>
        <c:barDir val="bar"/>
        <c:grouping val="clustered"/>
        <c:varyColors val="0"/>
        <c:ser>
          <c:idx val="0"/>
          <c:order val="0"/>
          <c:tx>
            <c:strRef>
              <c:f>Sheet8!$B$12</c:f>
              <c:strCache>
                <c:ptCount val="1"/>
                <c:pt idx="0">
                  <c:v>Total</c:v>
                </c:pt>
              </c:strCache>
            </c:strRef>
          </c:tx>
          <c:spPr>
            <a:solidFill>
              <a:srgbClr val="FF0000"/>
            </a:solidFill>
            <a:ln>
              <a:noFill/>
            </a:ln>
            <a:effectLst/>
            <a:sp3d/>
          </c:spPr>
          <c:invertIfNegative val="0"/>
          <c:cat>
            <c:strRef>
              <c:f>Sheet8!$A$13:$A$19</c:f>
              <c:strCache>
                <c:ptCount val="6"/>
                <c:pt idx="0">
                  <c:v>Alteryx</c:v>
                </c:pt>
                <c:pt idx="1">
                  <c:v>Excel</c:v>
                </c:pt>
                <c:pt idx="2">
                  <c:v>Power Bi</c:v>
                </c:pt>
                <c:pt idx="3">
                  <c:v>Python</c:v>
                </c:pt>
                <c:pt idx="4">
                  <c:v>SQL Server</c:v>
                </c:pt>
                <c:pt idx="5">
                  <c:v>VBA Macros</c:v>
                </c:pt>
              </c:strCache>
            </c:strRef>
          </c:cat>
          <c:val>
            <c:numRef>
              <c:f>Sheet8!$B$13:$B$19</c:f>
              <c:numCache>
                <c:formatCode>General</c:formatCode>
                <c:ptCount val="6"/>
                <c:pt idx="0">
                  <c:v>31497</c:v>
                </c:pt>
                <c:pt idx="1">
                  <c:v>19989</c:v>
                </c:pt>
                <c:pt idx="2">
                  <c:v>17281</c:v>
                </c:pt>
                <c:pt idx="3">
                  <c:v>22355</c:v>
                </c:pt>
                <c:pt idx="4">
                  <c:v>36491</c:v>
                </c:pt>
                <c:pt idx="5">
                  <c:v>26684</c:v>
                </c:pt>
              </c:numCache>
            </c:numRef>
          </c:val>
          <c:extLst>
            <c:ext xmlns:c16="http://schemas.microsoft.com/office/drawing/2014/chart" uri="{C3380CC4-5D6E-409C-BE32-E72D297353CC}">
              <c16:uniqueId val="{00000000-F316-44BC-B009-F842885757AA}"/>
            </c:ext>
          </c:extLst>
        </c:ser>
        <c:dLbls>
          <c:showLegendKey val="0"/>
          <c:showVal val="0"/>
          <c:showCatName val="0"/>
          <c:showSerName val="0"/>
          <c:showPercent val="0"/>
          <c:showBubbleSize val="0"/>
        </c:dLbls>
        <c:gapWidth val="150"/>
        <c:shape val="box"/>
        <c:axId val="673141903"/>
        <c:axId val="673143343"/>
        <c:axId val="0"/>
      </c:bar3DChart>
      <c:catAx>
        <c:axId val="67314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73143343"/>
        <c:crosses val="autoZero"/>
        <c:auto val="1"/>
        <c:lblAlgn val="ctr"/>
        <c:lblOffset val="100"/>
        <c:noMultiLvlLbl val="0"/>
      </c:catAx>
      <c:valAx>
        <c:axId val="673143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7314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Courses Data.xlsx]Sheet8!PivotTable6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State Wise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Total</c:v>
                </c:pt>
              </c:strCache>
            </c:strRef>
          </c:tx>
          <c:spPr>
            <a:solidFill>
              <a:srgbClr val="FF0000"/>
            </a:solidFill>
            <a:ln>
              <a:noFill/>
            </a:ln>
            <a:effectLst/>
            <a:sp3d/>
          </c:spPr>
          <c:invertIfNegative val="0"/>
          <c:cat>
            <c:strRef>
              <c:f>Sheet8!$A$4:$A$10</c:f>
              <c:strCache>
                <c:ptCount val="6"/>
                <c:pt idx="0">
                  <c:v>California</c:v>
                </c:pt>
                <c:pt idx="1">
                  <c:v>Florida</c:v>
                </c:pt>
                <c:pt idx="2">
                  <c:v>Illinois</c:v>
                </c:pt>
                <c:pt idx="3">
                  <c:v>New York</c:v>
                </c:pt>
                <c:pt idx="4">
                  <c:v>Texas</c:v>
                </c:pt>
                <c:pt idx="5">
                  <c:v>Washington</c:v>
                </c:pt>
              </c:strCache>
            </c:strRef>
          </c:cat>
          <c:val>
            <c:numRef>
              <c:f>Sheet8!$B$4:$B$10</c:f>
              <c:numCache>
                <c:formatCode>General</c:formatCode>
                <c:ptCount val="6"/>
                <c:pt idx="0">
                  <c:v>22134</c:v>
                </c:pt>
                <c:pt idx="1">
                  <c:v>23822</c:v>
                </c:pt>
                <c:pt idx="2">
                  <c:v>29415</c:v>
                </c:pt>
                <c:pt idx="3">
                  <c:v>20906</c:v>
                </c:pt>
                <c:pt idx="4">
                  <c:v>33575</c:v>
                </c:pt>
                <c:pt idx="5">
                  <c:v>24445</c:v>
                </c:pt>
              </c:numCache>
            </c:numRef>
          </c:val>
          <c:extLst>
            <c:ext xmlns:c16="http://schemas.microsoft.com/office/drawing/2014/chart" uri="{C3380CC4-5D6E-409C-BE32-E72D297353CC}">
              <c16:uniqueId val="{00000000-C18C-4827-9EC7-331A57FE700B}"/>
            </c:ext>
          </c:extLst>
        </c:ser>
        <c:dLbls>
          <c:showLegendKey val="0"/>
          <c:showVal val="0"/>
          <c:showCatName val="0"/>
          <c:showSerName val="0"/>
          <c:showPercent val="0"/>
          <c:showBubbleSize val="0"/>
        </c:dLbls>
        <c:gapWidth val="150"/>
        <c:shape val="box"/>
        <c:axId val="673134703"/>
        <c:axId val="673136623"/>
        <c:axId val="0"/>
      </c:bar3DChart>
      <c:catAx>
        <c:axId val="673134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73136623"/>
        <c:crosses val="autoZero"/>
        <c:auto val="1"/>
        <c:lblAlgn val="ctr"/>
        <c:lblOffset val="100"/>
        <c:noMultiLvlLbl val="0"/>
      </c:catAx>
      <c:valAx>
        <c:axId val="673136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7313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112568</xdr:colOff>
      <xdr:row>0</xdr:row>
      <xdr:rowOff>0</xdr:rowOff>
    </xdr:from>
    <xdr:to>
      <xdr:col>22</xdr:col>
      <xdr:colOff>432955</xdr:colOff>
      <xdr:row>34</xdr:row>
      <xdr:rowOff>34636</xdr:rowOff>
    </xdr:to>
    <xdr:sp macro="" textlink="">
      <xdr:nvSpPr>
        <xdr:cNvPr id="2" name="Rectangle: Rounded Corners 1">
          <a:extLst>
            <a:ext uri="{FF2B5EF4-FFF2-40B4-BE49-F238E27FC236}">
              <a16:creationId xmlns:a16="http://schemas.microsoft.com/office/drawing/2014/main" id="{A460218F-07B7-3DA7-278D-A5538B32E010}"/>
            </a:ext>
          </a:extLst>
        </xdr:cNvPr>
        <xdr:cNvSpPr/>
      </xdr:nvSpPr>
      <xdr:spPr>
        <a:xfrm>
          <a:off x="112568" y="0"/>
          <a:ext cx="13664046" cy="6217227"/>
        </a:xfrm>
        <a:prstGeom prst="roundRect">
          <a:avLst>
            <a:gd name="adj" fmla="val 317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424295</xdr:colOff>
      <xdr:row>17</xdr:row>
      <xdr:rowOff>121228</xdr:rowOff>
    </xdr:from>
    <xdr:to>
      <xdr:col>22</xdr:col>
      <xdr:colOff>60614</xdr:colOff>
      <xdr:row>33</xdr:row>
      <xdr:rowOff>25976</xdr:rowOff>
    </xdr:to>
    <xdr:graphicFrame macro="">
      <xdr:nvGraphicFramePr>
        <xdr:cNvPr id="3" name="Chart 2">
          <a:extLst>
            <a:ext uri="{FF2B5EF4-FFF2-40B4-BE49-F238E27FC236}">
              <a16:creationId xmlns:a16="http://schemas.microsoft.com/office/drawing/2014/main" id="{A31C3170-967E-480C-9649-6B4827DCA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541020</xdr:colOff>
      <xdr:row>3</xdr:row>
      <xdr:rowOff>83820</xdr:rowOff>
    </xdr:from>
    <xdr:to>
      <xdr:col>13</xdr:col>
      <xdr:colOff>365760</xdr:colOff>
      <xdr:row>17</xdr:row>
      <xdr:rowOff>99060</xdr:rowOff>
    </xdr:to>
    <xdr:graphicFrame macro="">
      <xdr:nvGraphicFramePr>
        <xdr:cNvPr id="4" name="Chart 3">
          <a:extLst>
            <a:ext uri="{FF2B5EF4-FFF2-40B4-BE49-F238E27FC236}">
              <a16:creationId xmlns:a16="http://schemas.microsoft.com/office/drawing/2014/main" id="{E9C72FAC-AEF4-4402-85CD-19B912081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419100</xdr:colOff>
      <xdr:row>3</xdr:row>
      <xdr:rowOff>121920</xdr:rowOff>
    </xdr:from>
    <xdr:to>
      <xdr:col>22</xdr:col>
      <xdr:colOff>53340</xdr:colOff>
      <xdr:row>17</xdr:row>
      <xdr:rowOff>86591</xdr:rowOff>
    </xdr:to>
    <xdr:graphicFrame macro="">
      <xdr:nvGraphicFramePr>
        <xdr:cNvPr id="5" name="Chart 4">
          <a:extLst>
            <a:ext uri="{FF2B5EF4-FFF2-40B4-BE49-F238E27FC236}">
              <a16:creationId xmlns:a16="http://schemas.microsoft.com/office/drawing/2014/main" id="{BEE3FC9E-0EE4-449B-82B7-D4E3921F0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548640</xdr:colOff>
      <xdr:row>17</xdr:row>
      <xdr:rowOff>138546</xdr:rowOff>
    </xdr:from>
    <xdr:to>
      <xdr:col>13</xdr:col>
      <xdr:colOff>372341</xdr:colOff>
      <xdr:row>33</xdr:row>
      <xdr:rowOff>8659</xdr:rowOff>
    </xdr:to>
    <xdr:graphicFrame macro="">
      <xdr:nvGraphicFramePr>
        <xdr:cNvPr id="6" name="Chart 5">
          <a:extLst>
            <a:ext uri="{FF2B5EF4-FFF2-40B4-BE49-F238E27FC236}">
              <a16:creationId xmlns:a16="http://schemas.microsoft.com/office/drawing/2014/main" id="{2A41DF33-8CB1-4DBF-B793-FD15D1B49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259080</xdr:colOff>
      <xdr:row>4</xdr:row>
      <xdr:rowOff>22860</xdr:rowOff>
    </xdr:from>
    <xdr:to>
      <xdr:col>3</xdr:col>
      <xdr:colOff>182880</xdr:colOff>
      <xdr:row>8</xdr:row>
      <xdr:rowOff>0</xdr:rowOff>
    </xdr:to>
    <xdr:sp macro="" textlink="">
      <xdr:nvSpPr>
        <xdr:cNvPr id="7" name="Rectangle: Rounded Corners 6">
          <a:extLst>
            <a:ext uri="{FF2B5EF4-FFF2-40B4-BE49-F238E27FC236}">
              <a16:creationId xmlns:a16="http://schemas.microsoft.com/office/drawing/2014/main" id="{F6644343-CF7F-39D6-6780-B1E4F7088594}"/>
            </a:ext>
          </a:extLst>
        </xdr:cNvPr>
        <xdr:cNvSpPr/>
      </xdr:nvSpPr>
      <xdr:spPr>
        <a:xfrm>
          <a:off x="259080" y="754380"/>
          <a:ext cx="1760220" cy="708660"/>
        </a:xfrm>
        <a:prstGeom prst="roundRect">
          <a:avLst>
            <a:gd name="adj" fmla="val 31721"/>
          </a:avLst>
        </a:prstGeom>
        <a:solidFill>
          <a:schemeClr val="accent2"/>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238643</xdr:colOff>
      <xdr:row>8</xdr:row>
      <xdr:rowOff>152400</xdr:rowOff>
    </xdr:from>
    <xdr:to>
      <xdr:col>3</xdr:col>
      <xdr:colOff>138544</xdr:colOff>
      <xdr:row>13</xdr:row>
      <xdr:rowOff>15240</xdr:rowOff>
    </xdr:to>
    <xdr:sp macro="" textlink="">
      <xdr:nvSpPr>
        <xdr:cNvPr id="8" name="Rectangle: Rounded Corners 7">
          <a:extLst>
            <a:ext uri="{FF2B5EF4-FFF2-40B4-BE49-F238E27FC236}">
              <a16:creationId xmlns:a16="http://schemas.microsoft.com/office/drawing/2014/main" id="{B1FF3A05-8F50-4C8C-821D-7359B67591B3}"/>
            </a:ext>
          </a:extLst>
        </xdr:cNvPr>
        <xdr:cNvSpPr/>
      </xdr:nvSpPr>
      <xdr:spPr>
        <a:xfrm>
          <a:off x="238643" y="1607127"/>
          <a:ext cx="1726969" cy="772045"/>
        </a:xfrm>
        <a:prstGeom prst="roundRect">
          <a:avLst>
            <a:gd name="adj" fmla="val 35295"/>
          </a:avLst>
        </a:prstGeom>
        <a:solidFill>
          <a:schemeClr val="accent2"/>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195002</xdr:colOff>
      <xdr:row>14</xdr:row>
      <xdr:rowOff>43295</xdr:rowOff>
    </xdr:from>
    <xdr:to>
      <xdr:col>3</xdr:col>
      <xdr:colOff>458931</xdr:colOff>
      <xdr:row>32</xdr:row>
      <xdr:rowOff>8659</xdr:rowOff>
    </xdr:to>
    <mc:AlternateContent xmlns:mc="http://schemas.openxmlformats.org/markup-compatibility/2006" xmlns:a14="http://schemas.microsoft.com/office/drawing/2010/main">
      <mc:Choice Requires="a14">
        <xdr:graphicFrame macro="">
          <xdr:nvGraphicFramePr>
            <xdr:cNvPr id="11" name="Course Name">
              <a:extLst>
                <a:ext uri="{FF2B5EF4-FFF2-40B4-BE49-F238E27FC236}">
                  <a16:creationId xmlns:a16="http://schemas.microsoft.com/office/drawing/2014/main" id="{EF7775B5-E835-1D18-92CC-D7292587A89B}"/>
                </a:ext>
              </a:extLst>
            </xdr:cNvPr>
            <xdr:cNvGraphicFramePr/>
          </xdr:nvGraphicFramePr>
          <xdr:xfrm>
            <a:off x="0" y="0"/>
            <a:ext cx="0" cy="0"/>
          </xdr:xfrm>
          <a:graphic>
            <a:graphicData uri="http://schemas.microsoft.com/office/drawing/2010/slicer">
              <sle:slicer xmlns:sle="http://schemas.microsoft.com/office/drawing/2010/slicer" name="Course Name"/>
            </a:graphicData>
          </a:graphic>
        </xdr:graphicFrame>
      </mc:Choice>
      <mc:Fallback xmlns="">
        <xdr:sp macro="" textlink="">
          <xdr:nvSpPr>
            <xdr:cNvPr id="0" name=""/>
            <xdr:cNvSpPr>
              <a:spLocks noTextEdit="1"/>
            </xdr:cNvSpPr>
          </xdr:nvSpPr>
          <xdr:spPr>
            <a:xfrm>
              <a:off x="195002" y="2589068"/>
              <a:ext cx="2090997" cy="323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373380</xdr:colOff>
      <xdr:row>4</xdr:row>
      <xdr:rowOff>83820</xdr:rowOff>
    </xdr:from>
    <xdr:to>
      <xdr:col>3</xdr:col>
      <xdr:colOff>30480</xdr:colOff>
      <xdr:row>5</xdr:row>
      <xdr:rowOff>175260</xdr:rowOff>
    </xdr:to>
    <xdr:sp macro="" textlink="">
      <xdr:nvSpPr>
        <xdr:cNvPr id="12" name="TextBox 11">
          <a:extLst>
            <a:ext uri="{FF2B5EF4-FFF2-40B4-BE49-F238E27FC236}">
              <a16:creationId xmlns:a16="http://schemas.microsoft.com/office/drawing/2014/main" id="{E3A70E01-52C1-E939-C25A-BBA5807E6F87}"/>
            </a:ext>
          </a:extLst>
        </xdr:cNvPr>
        <xdr:cNvSpPr txBox="1"/>
      </xdr:nvSpPr>
      <xdr:spPr>
        <a:xfrm>
          <a:off x="373380" y="815340"/>
          <a:ext cx="1493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a:t>
          </a:r>
          <a:r>
            <a:rPr lang="en-IN" sz="1600" b="1" baseline="0"/>
            <a:t> Revenue</a:t>
          </a:r>
          <a:endParaRPr lang="en-IN" sz="1600" b="1"/>
        </a:p>
      </xdr:txBody>
    </xdr:sp>
    <xdr:clientData/>
  </xdr:twoCellAnchor>
  <xdr:twoCellAnchor>
    <xdr:from>
      <xdr:col>0</xdr:col>
      <xdr:colOff>411480</xdr:colOff>
      <xdr:row>5</xdr:row>
      <xdr:rowOff>175260</xdr:rowOff>
    </xdr:from>
    <xdr:to>
      <xdr:col>2</xdr:col>
      <xdr:colOff>525780</xdr:colOff>
      <xdr:row>7</xdr:row>
      <xdr:rowOff>91440</xdr:rowOff>
    </xdr:to>
    <xdr:sp macro="" textlink="Sheet5!D15">
      <xdr:nvSpPr>
        <xdr:cNvPr id="13" name="TextBox 12">
          <a:extLst>
            <a:ext uri="{FF2B5EF4-FFF2-40B4-BE49-F238E27FC236}">
              <a16:creationId xmlns:a16="http://schemas.microsoft.com/office/drawing/2014/main" id="{CC2ED9E0-4F0F-CC40-5755-1028E312AF1D}"/>
            </a:ext>
          </a:extLst>
        </xdr:cNvPr>
        <xdr:cNvSpPr txBox="1"/>
      </xdr:nvSpPr>
      <xdr:spPr>
        <a:xfrm>
          <a:off x="411480" y="1089660"/>
          <a:ext cx="13411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32401-7E1A-4802-A3ED-70DDC39E0C21}" type="TxLink">
            <a:rPr lang="en-US" sz="1800" b="1" i="0" u="none" strike="noStrike">
              <a:solidFill>
                <a:srgbClr val="000000"/>
              </a:solidFill>
              <a:latin typeface="Calibri"/>
              <a:ea typeface="Calibri"/>
              <a:cs typeface="Calibri"/>
            </a:rPr>
            <a:pPr algn="ctr"/>
            <a:t>154k</a:t>
          </a:fld>
          <a:endParaRPr lang="en-IN" sz="1800" b="1"/>
        </a:p>
      </xdr:txBody>
    </xdr:sp>
    <xdr:clientData/>
  </xdr:twoCellAnchor>
  <xdr:twoCellAnchor>
    <xdr:from>
      <xdr:col>0</xdr:col>
      <xdr:colOff>457200</xdr:colOff>
      <xdr:row>9</xdr:row>
      <xdr:rowOff>38100</xdr:rowOff>
    </xdr:from>
    <xdr:to>
      <xdr:col>2</xdr:col>
      <xdr:colOff>510540</xdr:colOff>
      <xdr:row>10</xdr:row>
      <xdr:rowOff>160020</xdr:rowOff>
    </xdr:to>
    <xdr:sp macro="" textlink="">
      <xdr:nvSpPr>
        <xdr:cNvPr id="14" name="TextBox 13">
          <a:extLst>
            <a:ext uri="{FF2B5EF4-FFF2-40B4-BE49-F238E27FC236}">
              <a16:creationId xmlns:a16="http://schemas.microsoft.com/office/drawing/2014/main" id="{3DBE73B2-9F9D-7D7B-5654-9CB987BC1977}"/>
            </a:ext>
          </a:extLst>
        </xdr:cNvPr>
        <xdr:cNvSpPr txBox="1"/>
      </xdr:nvSpPr>
      <xdr:spPr>
        <a:xfrm>
          <a:off x="457200" y="1684020"/>
          <a:ext cx="12801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2">
                  <a:lumMod val="10000"/>
                </a:schemeClr>
              </a:solidFill>
            </a:rPr>
            <a:t>Count Of Enrolls</a:t>
          </a:r>
        </a:p>
      </xdr:txBody>
    </xdr:sp>
    <xdr:clientData/>
  </xdr:twoCellAnchor>
  <xdr:twoCellAnchor>
    <xdr:from>
      <xdr:col>0</xdr:col>
      <xdr:colOff>419100</xdr:colOff>
      <xdr:row>10</xdr:row>
      <xdr:rowOff>137160</xdr:rowOff>
    </xdr:from>
    <xdr:to>
      <xdr:col>2</xdr:col>
      <xdr:colOff>434340</xdr:colOff>
      <xdr:row>12</xdr:row>
      <xdr:rowOff>60960</xdr:rowOff>
    </xdr:to>
    <xdr:sp macro="" textlink="Sheet5!D19">
      <xdr:nvSpPr>
        <xdr:cNvPr id="15" name="TextBox 14">
          <a:extLst>
            <a:ext uri="{FF2B5EF4-FFF2-40B4-BE49-F238E27FC236}">
              <a16:creationId xmlns:a16="http://schemas.microsoft.com/office/drawing/2014/main" id="{9CDA2A9F-353D-374A-38AE-B8955992B8D7}"/>
            </a:ext>
          </a:extLst>
        </xdr:cNvPr>
        <xdr:cNvSpPr txBox="1"/>
      </xdr:nvSpPr>
      <xdr:spPr>
        <a:xfrm>
          <a:off x="419100" y="1965960"/>
          <a:ext cx="12420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F578C6-21D5-4639-A81D-C0FED9B03796}" type="TxLink">
            <a:rPr lang="en-US" sz="2000" b="1" i="0" u="none" strike="noStrike">
              <a:solidFill>
                <a:srgbClr val="000000"/>
              </a:solidFill>
              <a:latin typeface="Calibri"/>
              <a:ea typeface="Calibri"/>
              <a:cs typeface="Calibri"/>
            </a:rPr>
            <a:pPr algn="ctr"/>
            <a:t>45</a:t>
          </a:fld>
          <a:endParaRPr lang="en-IN" sz="2000" b="1"/>
        </a:p>
      </xdr:txBody>
    </xdr:sp>
    <xdr:clientData/>
  </xdr:twoCellAnchor>
  <xdr:twoCellAnchor>
    <xdr:from>
      <xdr:col>0</xdr:col>
      <xdr:colOff>190500</xdr:colOff>
      <xdr:row>0</xdr:row>
      <xdr:rowOff>43297</xdr:rowOff>
    </xdr:from>
    <xdr:to>
      <xdr:col>22</xdr:col>
      <xdr:colOff>69273</xdr:colOff>
      <xdr:row>3</xdr:row>
      <xdr:rowOff>8659</xdr:rowOff>
    </xdr:to>
    <xdr:sp macro="" textlink="">
      <xdr:nvSpPr>
        <xdr:cNvPr id="16" name="Rectangle: Rounded Corners 15">
          <a:extLst>
            <a:ext uri="{FF2B5EF4-FFF2-40B4-BE49-F238E27FC236}">
              <a16:creationId xmlns:a16="http://schemas.microsoft.com/office/drawing/2014/main" id="{4E32DDBF-C35E-5D99-E06E-3928F9B4432A}"/>
            </a:ext>
          </a:extLst>
        </xdr:cNvPr>
        <xdr:cNvSpPr/>
      </xdr:nvSpPr>
      <xdr:spPr>
        <a:xfrm>
          <a:off x="190500" y="43297"/>
          <a:ext cx="13222432" cy="51088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tx1"/>
              </a:solidFill>
            </a:rPr>
            <a:t>Course Performance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243840</xdr:colOff>
      <xdr:row>4</xdr:row>
      <xdr:rowOff>15240</xdr:rowOff>
    </xdr:from>
    <xdr:to>
      <xdr:col>11</xdr:col>
      <xdr:colOff>60960</xdr:colOff>
      <xdr:row>17</xdr:row>
      <xdr:rowOff>114300</xdr:rowOff>
    </xdr:to>
    <xdr:graphicFrame macro="">
      <xdr:nvGraphicFramePr>
        <xdr:cNvPr id="2" name="Chart 1">
          <a:extLst>
            <a:ext uri="{FF2B5EF4-FFF2-40B4-BE49-F238E27FC236}">
              <a16:creationId xmlns:a16="http://schemas.microsoft.com/office/drawing/2014/main" id="{B0C40ACB-F07B-6CDB-CB38-6CADC6083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358140</xdr:colOff>
      <xdr:row>5</xdr:row>
      <xdr:rowOff>137160</xdr:rowOff>
    </xdr:from>
    <xdr:to>
      <xdr:col>11</xdr:col>
      <xdr:colOff>53340</xdr:colOff>
      <xdr:row>20</xdr:row>
      <xdr:rowOff>137160</xdr:rowOff>
    </xdr:to>
    <xdr:graphicFrame macro="">
      <xdr:nvGraphicFramePr>
        <xdr:cNvPr id="2" name="Chart 1">
          <a:extLst>
            <a:ext uri="{FF2B5EF4-FFF2-40B4-BE49-F238E27FC236}">
              <a16:creationId xmlns:a16="http://schemas.microsoft.com/office/drawing/2014/main" id="{217CC55A-D1C3-E2FB-F9D4-7BBD42472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480060</xdr:colOff>
      <xdr:row>7</xdr:row>
      <xdr:rowOff>137160</xdr:rowOff>
    </xdr:from>
    <xdr:to>
      <xdr:col>11</xdr:col>
      <xdr:colOff>175260</xdr:colOff>
      <xdr:row>22</xdr:row>
      <xdr:rowOff>137160</xdr:rowOff>
    </xdr:to>
    <xdr:graphicFrame macro="">
      <xdr:nvGraphicFramePr>
        <xdr:cNvPr id="2" name="Chart 1">
          <a:extLst>
            <a:ext uri="{FF2B5EF4-FFF2-40B4-BE49-F238E27FC236}">
              <a16:creationId xmlns:a16="http://schemas.microsoft.com/office/drawing/2014/main" id="{6F36FCFA-4DCA-FDD6-48CD-E43036531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563880</xdr:colOff>
      <xdr:row>5</xdr:row>
      <xdr:rowOff>137160</xdr:rowOff>
    </xdr:from>
    <xdr:to>
      <xdr:col>11</xdr:col>
      <xdr:colOff>53340</xdr:colOff>
      <xdr:row>20</xdr:row>
      <xdr:rowOff>137160</xdr:rowOff>
    </xdr:to>
    <xdr:graphicFrame macro="">
      <xdr:nvGraphicFramePr>
        <xdr:cNvPr id="2" name="Chart 1">
          <a:extLst>
            <a:ext uri="{FF2B5EF4-FFF2-40B4-BE49-F238E27FC236}">
              <a16:creationId xmlns:a16="http://schemas.microsoft.com/office/drawing/2014/main" id="{BA106596-6843-BD15-4D75-D2050F6C2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358140</xdr:colOff>
      <xdr:row>0</xdr:row>
      <xdr:rowOff>129540</xdr:rowOff>
    </xdr:from>
    <xdr:to>
      <xdr:col>17</xdr:col>
      <xdr:colOff>38100</xdr:colOff>
      <xdr:row>8</xdr:row>
      <xdr:rowOff>38100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3589BB54-E2B7-9A38-7E97-DE09300A86F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008620" y="1295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289560</xdr:colOff>
      <xdr:row>0</xdr:row>
      <xdr:rowOff>137161</xdr:rowOff>
    </xdr:from>
    <xdr:to>
      <xdr:col>5</xdr:col>
      <xdr:colOff>289560</xdr:colOff>
      <xdr:row>11</xdr:row>
      <xdr:rowOff>129541</xdr:rowOff>
    </xdr:to>
    <mc:AlternateContent xmlns:mc="http://schemas.openxmlformats.org/markup-compatibility/2006">
      <mc:Choice xmlns:a14="http://schemas.microsoft.com/office/drawing/2010/main" Requires="a14">
        <xdr:graphicFrame macro="">
          <xdr:nvGraphicFramePr>
            <xdr:cNvPr id="3" name="Course Name 1">
              <a:extLst>
                <a:ext uri="{FF2B5EF4-FFF2-40B4-BE49-F238E27FC236}">
                  <a16:creationId xmlns:a16="http://schemas.microsoft.com/office/drawing/2014/main" id="{9BB70ED8-6049-D399-4930-8F713E9F8509}"/>
                </a:ext>
              </a:extLst>
            </xdr:cNvPr>
            <xdr:cNvGraphicFramePr/>
          </xdr:nvGraphicFramePr>
          <xdr:xfrm>
            <a:off x="0" y="0"/>
            <a:ext cx="0" cy="0"/>
          </xdr:xfrm>
          <a:graphic>
            <a:graphicData uri="http://schemas.microsoft.com/office/drawing/2010/slicer">
              <sle:slicer xmlns:sle="http://schemas.microsoft.com/office/drawing/2010/slicer" name="Course Name 1"/>
            </a:graphicData>
          </a:graphic>
        </xdr:graphicFrame>
      </mc:Choice>
      <mc:Fallback>
        <xdr:sp macro="" textlink="">
          <xdr:nvSpPr>
            <xdr:cNvPr id="0" name=""/>
            <xdr:cNvSpPr>
              <a:spLocks noTextEdit="1"/>
            </xdr:cNvSpPr>
          </xdr:nvSpPr>
          <xdr:spPr>
            <a:xfrm>
              <a:off x="2804160" y="137161"/>
              <a:ext cx="1828800" cy="2004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297180</xdr:colOff>
      <xdr:row>0</xdr:row>
      <xdr:rowOff>137161</xdr:rowOff>
    </xdr:from>
    <xdr:to>
      <xdr:col>8</xdr:col>
      <xdr:colOff>297180</xdr:colOff>
      <xdr:row>8</xdr:row>
      <xdr:rowOff>160021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E26F5C77-B795-D77A-BB7D-17D43A2F57D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290060" y="13716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327660</xdr:colOff>
      <xdr:row>0</xdr:row>
      <xdr:rowOff>129541</xdr:rowOff>
    </xdr:from>
    <xdr:to>
      <xdr:col>11</xdr:col>
      <xdr:colOff>327660</xdr:colOff>
      <xdr:row>11</xdr:row>
      <xdr:rowOff>121920</xdr:rowOff>
    </xdr:to>
    <mc:AlternateContent xmlns:mc="http://schemas.openxmlformats.org/markup-compatibility/2006" xmlns:a14="http://schemas.microsoft.com/office/drawing/2010/main">
      <mc:Choice Requires="a14">
        <xdr:graphicFrame macro="">
          <xdr:nvGraphicFramePr>
            <xdr:cNvPr id="5" name="State ">
              <a:extLst>
                <a:ext uri="{FF2B5EF4-FFF2-40B4-BE49-F238E27FC236}">
                  <a16:creationId xmlns:a16="http://schemas.microsoft.com/office/drawing/2014/main" id="{619F44EC-25AF-F265-33DC-EAEDB2939B27}"/>
                </a:ext>
              </a:extLst>
            </xdr:cNvPr>
            <xdr:cNvGraphicFramePr/>
          </xdr:nvGraphicFramePr>
          <xdr:xfrm>
            <a:off x="0" y="0"/>
            <a:ext cx="0" cy="0"/>
          </xdr:xfrm>
          <a:graphic>
            <a:graphicData uri="http://schemas.microsoft.com/office/drawing/2010/slicer">
              <sle:slicer xmlns:sle="http://schemas.microsoft.com/office/drawing/2010/slicer" name="State "/>
            </a:graphicData>
          </a:graphic>
        </xdr:graphicFrame>
      </mc:Choice>
      <mc:Fallback xmlns="">
        <xdr:sp macro="" textlink="">
          <xdr:nvSpPr>
            <xdr:cNvPr id="0" name=""/>
            <xdr:cNvSpPr>
              <a:spLocks noTextEdit="1"/>
            </xdr:cNvSpPr>
          </xdr:nvSpPr>
          <xdr:spPr>
            <a:xfrm>
              <a:off x="6149340" y="129541"/>
              <a:ext cx="1828800" cy="2004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30480</xdr:colOff>
      <xdr:row>15</xdr:row>
      <xdr:rowOff>49530</xdr:rowOff>
    </xdr:from>
    <xdr:to>
      <xdr:col>11</xdr:col>
      <xdr:colOff>335280</xdr:colOff>
      <xdr:row>30</xdr:row>
      <xdr:rowOff>49530</xdr:rowOff>
    </xdr:to>
    <xdr:graphicFrame macro="">
      <xdr:nvGraphicFramePr>
        <xdr:cNvPr id="6" name="Chart 5">
          <a:extLst>
            <a:ext uri="{FF2B5EF4-FFF2-40B4-BE49-F238E27FC236}">
              <a16:creationId xmlns:a16="http://schemas.microsoft.com/office/drawing/2014/main" id="{98935032-A6BE-2C27-EC73-2A2035A3AA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137160</xdr:colOff>
      <xdr:row>15</xdr:row>
      <xdr:rowOff>26670</xdr:rowOff>
    </xdr:from>
    <xdr:to>
      <xdr:col>18</xdr:col>
      <xdr:colOff>441960</xdr:colOff>
      <xdr:row>30</xdr:row>
      <xdr:rowOff>26670</xdr:rowOff>
    </xdr:to>
    <xdr:graphicFrame macro="">
      <xdr:nvGraphicFramePr>
        <xdr:cNvPr id="8" name="Chart 7">
          <a:extLst>
            <a:ext uri="{FF2B5EF4-FFF2-40B4-BE49-F238E27FC236}">
              <a16:creationId xmlns:a16="http://schemas.microsoft.com/office/drawing/2014/main" id="{441F4FB3-9A79-5D29-CE7B-796B7F55C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83820</xdr:colOff>
      <xdr:row>0</xdr:row>
      <xdr:rowOff>60960</xdr:rowOff>
    </xdr:from>
    <xdr:to>
      <xdr:col>22</xdr:col>
      <xdr:colOff>548640</xdr:colOff>
      <xdr:row>28</xdr:row>
      <xdr:rowOff>7620</xdr:rowOff>
    </xdr:to>
    <xdr:sp macro="" textlink="">
      <xdr:nvSpPr>
        <xdr:cNvPr id="26" name="Rectangle: Rounded Corners 25">
          <a:extLst>
            <a:ext uri="{FF2B5EF4-FFF2-40B4-BE49-F238E27FC236}">
              <a16:creationId xmlns:a16="http://schemas.microsoft.com/office/drawing/2014/main" id="{6AA2EBA2-5B75-9062-FB88-4AD66164A845}"/>
            </a:ext>
          </a:extLst>
        </xdr:cNvPr>
        <xdr:cNvSpPr/>
      </xdr:nvSpPr>
      <xdr:spPr>
        <a:xfrm>
          <a:off x="693420" y="60960"/>
          <a:ext cx="13266420" cy="5067300"/>
        </a:xfrm>
        <a:prstGeom prst="roundRect">
          <a:avLst>
            <a:gd name="adj" fmla="val 3284"/>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533400</xdr:colOff>
      <xdr:row>0</xdr:row>
      <xdr:rowOff>91440</xdr:rowOff>
    </xdr:from>
    <xdr:to>
      <xdr:col>22</xdr:col>
      <xdr:colOff>220980</xdr:colOff>
      <xdr:row>28</xdr:row>
      <xdr:rowOff>7620</xdr:rowOff>
    </xdr:to>
    <xdr:sp macro="" textlink="">
      <xdr:nvSpPr>
        <xdr:cNvPr id="20" name="Rectangle: Rounded Corners 19">
          <a:extLst>
            <a:ext uri="{FF2B5EF4-FFF2-40B4-BE49-F238E27FC236}">
              <a16:creationId xmlns:a16="http://schemas.microsoft.com/office/drawing/2014/main" id="{3096C8E3-0427-D7F0-E697-E0EF7244E700}"/>
            </a:ext>
          </a:extLst>
        </xdr:cNvPr>
        <xdr:cNvSpPr/>
      </xdr:nvSpPr>
      <xdr:spPr>
        <a:xfrm>
          <a:off x="533400" y="91440"/>
          <a:ext cx="13098780" cy="5036820"/>
        </a:xfrm>
        <a:prstGeom prst="roundRect">
          <a:avLst>
            <a:gd name="adj" fmla="val 607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144780</xdr:colOff>
      <xdr:row>13</xdr:row>
      <xdr:rowOff>60960</xdr:rowOff>
    </xdr:from>
    <xdr:to>
      <xdr:col>12</xdr:col>
      <xdr:colOff>289560</xdr:colOff>
      <xdr:row>26</xdr:row>
      <xdr:rowOff>53340</xdr:rowOff>
    </xdr:to>
    <xdr:graphicFrame macro="">
      <xdr:nvGraphicFramePr>
        <xdr:cNvPr id="2" name="Chart 1">
          <a:extLst>
            <a:ext uri="{FF2B5EF4-FFF2-40B4-BE49-F238E27FC236}">
              <a16:creationId xmlns:a16="http://schemas.microsoft.com/office/drawing/2014/main" id="{28283D08-A343-4179-8E5F-51892C3D1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396240</xdr:colOff>
      <xdr:row>13</xdr:row>
      <xdr:rowOff>45720</xdr:rowOff>
    </xdr:from>
    <xdr:to>
      <xdr:col>22</xdr:col>
      <xdr:colOff>144780</xdr:colOff>
      <xdr:row>26</xdr:row>
      <xdr:rowOff>53340</xdr:rowOff>
    </xdr:to>
    <xdr:graphicFrame macro="">
      <xdr:nvGraphicFramePr>
        <xdr:cNvPr id="3" name="Chart 2">
          <a:extLst>
            <a:ext uri="{FF2B5EF4-FFF2-40B4-BE49-F238E27FC236}">
              <a16:creationId xmlns:a16="http://schemas.microsoft.com/office/drawing/2014/main" id="{6F034EE4-A513-4EAC-A7A0-D2F7CFBBF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205740</xdr:colOff>
      <xdr:row>5</xdr:row>
      <xdr:rowOff>152400</xdr:rowOff>
    </xdr:from>
    <xdr:to>
      <xdr:col>8</xdr:col>
      <xdr:colOff>22860</xdr:colOff>
      <xdr:row>12</xdr:row>
      <xdr:rowOff>144780</xdr:rowOff>
    </xdr:to>
    <mc:AlternateContent xmlns:mc="http://schemas.openxmlformats.org/markup-compatibility/2006">
      <mc:Choice xmlns:a14="http://schemas.microsoft.com/office/drawing/2010/main" Requires="a14">
        <xdr:graphicFrame macro="">
          <xdr:nvGraphicFramePr>
            <xdr:cNvPr id="4" name="Course Name 2">
              <a:extLst>
                <a:ext uri="{FF2B5EF4-FFF2-40B4-BE49-F238E27FC236}">
                  <a16:creationId xmlns:a16="http://schemas.microsoft.com/office/drawing/2014/main" id="{C93A8E36-4C47-40E1-BFC5-529CC661DB95}"/>
                </a:ext>
              </a:extLst>
            </xdr:cNvPr>
            <xdr:cNvGraphicFramePr/>
          </xdr:nvGraphicFramePr>
          <xdr:xfrm>
            <a:off x="0" y="0"/>
            <a:ext cx="0" cy="0"/>
          </xdr:xfrm>
          <a:graphic>
            <a:graphicData uri="http://schemas.microsoft.com/office/drawing/2010/slicer">
              <sle:slicer xmlns:sle="http://schemas.microsoft.com/office/drawing/2010/slicer" name="Course Name 2"/>
            </a:graphicData>
          </a:graphic>
        </xdr:graphicFrame>
      </mc:Choice>
      <mc:Fallback>
        <xdr:sp macro="" textlink="">
          <xdr:nvSpPr>
            <xdr:cNvPr id="0" name=""/>
            <xdr:cNvSpPr>
              <a:spLocks noTextEdit="1"/>
            </xdr:cNvSpPr>
          </xdr:nvSpPr>
          <xdr:spPr>
            <a:xfrm>
              <a:off x="2644140" y="1066800"/>
              <a:ext cx="225552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129540</xdr:colOff>
      <xdr:row>5</xdr:row>
      <xdr:rowOff>30480</xdr:rowOff>
    </xdr:from>
    <xdr:to>
      <xdr:col>11</xdr:col>
      <xdr:colOff>15240</xdr:colOff>
      <xdr:row>12</xdr:row>
      <xdr:rowOff>175260</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52E114A8-71AF-4D96-9EE2-2453EABF746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006340" y="944880"/>
              <a:ext cx="17145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213360</xdr:colOff>
      <xdr:row>5</xdr:row>
      <xdr:rowOff>152401</xdr:rowOff>
    </xdr:from>
    <xdr:to>
      <xdr:col>15</xdr:col>
      <xdr:colOff>388620</xdr:colOff>
      <xdr:row>12</xdr:row>
      <xdr:rowOff>129541</xdr:rowOff>
    </xdr:to>
    <mc:AlternateContent xmlns:mc="http://schemas.openxmlformats.org/markup-compatibility/2006">
      <mc:Choice xmlns:a14="http://schemas.microsoft.com/office/drawing/2010/main" Requires="a14">
        <xdr:graphicFrame macro="">
          <xdr:nvGraphicFramePr>
            <xdr:cNvPr id="6" name="State  1">
              <a:extLst>
                <a:ext uri="{FF2B5EF4-FFF2-40B4-BE49-F238E27FC236}">
                  <a16:creationId xmlns:a16="http://schemas.microsoft.com/office/drawing/2014/main" id="{7D4EF24E-1BA7-43F2-816B-7EBE5D8BF0B7}"/>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6918960" y="1066801"/>
              <a:ext cx="261366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426720</xdr:colOff>
      <xdr:row>5</xdr:row>
      <xdr:rowOff>99060</xdr:rowOff>
    </xdr:from>
    <xdr:to>
      <xdr:col>22</xdr:col>
      <xdr:colOff>83820</xdr:colOff>
      <xdr:row>12</xdr:row>
      <xdr:rowOff>137160</xdr:rowOff>
    </xdr:to>
    <mc:AlternateContent xmlns:mc="http://schemas.openxmlformats.org/markup-compatibility/2006">
      <mc:Choice xmlns:tsle="http://schemas.microsoft.com/office/drawing/2012/timeslicer" Requires="tsle">
        <xdr:graphicFrame macro="">
          <xdr:nvGraphicFramePr>
            <xdr:cNvPr id="7" name="Date 1">
              <a:extLst>
                <a:ext uri="{FF2B5EF4-FFF2-40B4-BE49-F238E27FC236}">
                  <a16:creationId xmlns:a16="http://schemas.microsoft.com/office/drawing/2014/main" id="{8F191D0C-3715-4877-8B02-EE811D4FC16B}"/>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9570720" y="1013460"/>
              <a:ext cx="3924300" cy="13182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281940</xdr:colOff>
      <xdr:row>6</xdr:row>
      <xdr:rowOff>22860</xdr:rowOff>
    </xdr:from>
    <xdr:to>
      <xdr:col>3</xdr:col>
      <xdr:colOff>373380</xdr:colOff>
      <xdr:row>10</xdr:row>
      <xdr:rowOff>0</xdr:rowOff>
    </xdr:to>
    <xdr:sp macro="" textlink="">
      <xdr:nvSpPr>
        <xdr:cNvPr id="8" name="Rectangle 7">
          <a:extLst>
            <a:ext uri="{FF2B5EF4-FFF2-40B4-BE49-F238E27FC236}">
              <a16:creationId xmlns:a16="http://schemas.microsoft.com/office/drawing/2014/main" id="{AD2F3EA7-60E4-8D81-E787-A4AC3EA6CB57}"/>
            </a:ext>
          </a:extLst>
        </xdr:cNvPr>
        <xdr:cNvSpPr/>
      </xdr:nvSpPr>
      <xdr:spPr>
        <a:xfrm>
          <a:off x="891540" y="1120140"/>
          <a:ext cx="1310640" cy="70866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297180</xdr:colOff>
      <xdr:row>13</xdr:row>
      <xdr:rowOff>60960</xdr:rowOff>
    </xdr:from>
    <xdr:to>
      <xdr:col>3</xdr:col>
      <xdr:colOff>381000</xdr:colOff>
      <xdr:row>17</xdr:row>
      <xdr:rowOff>30480</xdr:rowOff>
    </xdr:to>
    <xdr:sp macro="" textlink="">
      <xdr:nvSpPr>
        <xdr:cNvPr id="9" name="Rectangle 8">
          <a:extLst>
            <a:ext uri="{FF2B5EF4-FFF2-40B4-BE49-F238E27FC236}">
              <a16:creationId xmlns:a16="http://schemas.microsoft.com/office/drawing/2014/main" id="{0E222473-C8A0-4A46-973D-77C593DEA871}"/>
            </a:ext>
          </a:extLst>
        </xdr:cNvPr>
        <xdr:cNvSpPr/>
      </xdr:nvSpPr>
      <xdr:spPr>
        <a:xfrm>
          <a:off x="906780" y="2438400"/>
          <a:ext cx="1303020" cy="70104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251460</xdr:colOff>
      <xdr:row>20</xdr:row>
      <xdr:rowOff>160020</xdr:rowOff>
    </xdr:from>
    <xdr:to>
      <xdr:col>3</xdr:col>
      <xdr:colOff>381000</xdr:colOff>
      <xdr:row>24</xdr:row>
      <xdr:rowOff>121920</xdr:rowOff>
    </xdr:to>
    <xdr:sp macro="" textlink="">
      <xdr:nvSpPr>
        <xdr:cNvPr id="10" name="Rectangle 9">
          <a:extLst>
            <a:ext uri="{FF2B5EF4-FFF2-40B4-BE49-F238E27FC236}">
              <a16:creationId xmlns:a16="http://schemas.microsoft.com/office/drawing/2014/main" id="{F5DFC59B-B05E-431A-B355-4FAA88CA43FA}"/>
            </a:ext>
          </a:extLst>
        </xdr:cNvPr>
        <xdr:cNvSpPr/>
      </xdr:nvSpPr>
      <xdr:spPr>
        <a:xfrm>
          <a:off x="861060" y="3817620"/>
          <a:ext cx="1348740" cy="69342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182880</xdr:colOff>
      <xdr:row>6</xdr:row>
      <xdr:rowOff>129540</xdr:rowOff>
    </xdr:from>
    <xdr:to>
      <xdr:col>2</xdr:col>
      <xdr:colOff>53340</xdr:colOff>
      <xdr:row>9</xdr:row>
      <xdr:rowOff>45720</xdr:rowOff>
    </xdr:to>
    <xdr:pic>
      <xdr:nvPicPr>
        <xdr:cNvPr id="12" name="Graphic 11" descr="Dollar with solid fill">
          <a:extLst>
            <a:ext uri="{FF2B5EF4-FFF2-40B4-BE49-F238E27FC236}">
              <a16:creationId xmlns:a16="http://schemas.microsoft.com/office/drawing/2014/main" id="{6A850791-F705-F78C-9BDC-89661FD059C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92480" y="1226820"/>
          <a:ext cx="480060" cy="464820"/>
        </a:xfrm>
        <a:prstGeom prst="rect">
          <a:avLst/>
        </a:prstGeom>
      </xdr:spPr>
    </xdr:pic>
    <xdr:clientData/>
  </xdr:twoCellAnchor>
  <xdr:twoCellAnchor editAs="oneCell">
    <xdr:from>
      <xdr:col>1</xdr:col>
      <xdr:colOff>281940</xdr:colOff>
      <xdr:row>13</xdr:row>
      <xdr:rowOff>137160</xdr:rowOff>
    </xdr:from>
    <xdr:to>
      <xdr:col>2</xdr:col>
      <xdr:colOff>152400</xdr:colOff>
      <xdr:row>17</xdr:row>
      <xdr:rowOff>0</xdr:rowOff>
    </xdr:to>
    <xdr:pic>
      <xdr:nvPicPr>
        <xdr:cNvPr id="14" name="Graphic 13" descr="User with solid fill">
          <a:extLst>
            <a:ext uri="{FF2B5EF4-FFF2-40B4-BE49-F238E27FC236}">
              <a16:creationId xmlns:a16="http://schemas.microsoft.com/office/drawing/2014/main" id="{E445767B-642E-5E64-F0F3-563DA86128C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91540" y="2514600"/>
          <a:ext cx="480060" cy="594360"/>
        </a:xfrm>
        <a:prstGeom prst="rect">
          <a:avLst/>
        </a:prstGeom>
      </xdr:spPr>
    </xdr:pic>
    <xdr:clientData/>
  </xdr:twoCellAnchor>
  <xdr:twoCellAnchor editAs="oneCell">
    <xdr:from>
      <xdr:col>1</xdr:col>
      <xdr:colOff>251460</xdr:colOff>
      <xdr:row>21</xdr:row>
      <xdr:rowOff>30480</xdr:rowOff>
    </xdr:from>
    <xdr:to>
      <xdr:col>2</xdr:col>
      <xdr:colOff>160020</xdr:colOff>
      <xdr:row>24</xdr:row>
      <xdr:rowOff>22860</xdr:rowOff>
    </xdr:to>
    <xdr:pic>
      <xdr:nvPicPr>
        <xdr:cNvPr id="16" name="Graphic 15" descr="Open book with solid fill">
          <a:extLst>
            <a:ext uri="{FF2B5EF4-FFF2-40B4-BE49-F238E27FC236}">
              <a16:creationId xmlns:a16="http://schemas.microsoft.com/office/drawing/2014/main" id="{90BF17B3-7D24-440C-319E-5C9934B819F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61060" y="3870960"/>
          <a:ext cx="518160" cy="541020"/>
        </a:xfrm>
        <a:prstGeom prst="rect">
          <a:avLst/>
        </a:prstGeom>
      </xdr:spPr>
    </xdr:pic>
    <xdr:clientData/>
  </xdr:twoCellAnchor>
  <xdr:twoCellAnchor>
    <xdr:from>
      <xdr:col>1</xdr:col>
      <xdr:colOff>556260</xdr:colOff>
      <xdr:row>6</xdr:row>
      <xdr:rowOff>137160</xdr:rowOff>
    </xdr:from>
    <xdr:to>
      <xdr:col>3</xdr:col>
      <xdr:colOff>373380</xdr:colOff>
      <xdr:row>7</xdr:row>
      <xdr:rowOff>129540</xdr:rowOff>
    </xdr:to>
    <xdr:sp macro="" textlink="">
      <xdr:nvSpPr>
        <xdr:cNvPr id="17" name="TextBox 16">
          <a:extLst>
            <a:ext uri="{FF2B5EF4-FFF2-40B4-BE49-F238E27FC236}">
              <a16:creationId xmlns:a16="http://schemas.microsoft.com/office/drawing/2014/main" id="{4D1912F9-E704-5E95-31DE-47B39A6D43F8}"/>
            </a:ext>
          </a:extLst>
        </xdr:cNvPr>
        <xdr:cNvSpPr txBox="1"/>
      </xdr:nvSpPr>
      <xdr:spPr>
        <a:xfrm>
          <a:off x="1165860" y="1234440"/>
          <a:ext cx="103632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Revenu</a:t>
          </a:r>
        </a:p>
      </xdr:txBody>
    </xdr:sp>
    <xdr:clientData/>
  </xdr:twoCellAnchor>
  <xdr:twoCellAnchor>
    <xdr:from>
      <xdr:col>1</xdr:col>
      <xdr:colOff>533400</xdr:colOff>
      <xdr:row>7</xdr:row>
      <xdr:rowOff>167640</xdr:rowOff>
    </xdr:from>
    <xdr:to>
      <xdr:col>3</xdr:col>
      <xdr:colOff>304800</xdr:colOff>
      <xdr:row>9</xdr:row>
      <xdr:rowOff>45720</xdr:rowOff>
    </xdr:to>
    <xdr:sp macro="" textlink="Sheet8!C22">
      <xdr:nvSpPr>
        <xdr:cNvPr id="18" name="TextBox 17">
          <a:extLst>
            <a:ext uri="{FF2B5EF4-FFF2-40B4-BE49-F238E27FC236}">
              <a16:creationId xmlns:a16="http://schemas.microsoft.com/office/drawing/2014/main" id="{2C5B2E14-C9DE-4EA1-8E25-AD403BBB08C1}"/>
            </a:ext>
          </a:extLst>
        </xdr:cNvPr>
        <xdr:cNvSpPr txBox="1"/>
      </xdr:nvSpPr>
      <xdr:spPr>
        <a:xfrm>
          <a:off x="1143000" y="1447800"/>
          <a:ext cx="9906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D0CE4D-F156-4717-BFC7-E184298AB433}" type="TxLink">
            <a:rPr lang="en-US" sz="1600" b="1" i="0" u="none" strike="noStrike">
              <a:solidFill>
                <a:srgbClr val="000000"/>
              </a:solidFill>
              <a:latin typeface="Calibri"/>
              <a:ea typeface="Calibri"/>
              <a:cs typeface="Calibri"/>
            </a:rPr>
            <a:t>154k</a:t>
          </a:fld>
          <a:endParaRPr lang="en-IN" sz="2400" b="1"/>
        </a:p>
      </xdr:txBody>
    </xdr:sp>
    <xdr:clientData/>
  </xdr:twoCellAnchor>
  <xdr:twoCellAnchor>
    <xdr:from>
      <xdr:col>1</xdr:col>
      <xdr:colOff>160020</xdr:colOff>
      <xdr:row>0</xdr:row>
      <xdr:rowOff>160020</xdr:rowOff>
    </xdr:from>
    <xdr:to>
      <xdr:col>22</xdr:col>
      <xdr:colOff>121920</xdr:colOff>
      <xdr:row>4</xdr:row>
      <xdr:rowOff>15240</xdr:rowOff>
    </xdr:to>
    <xdr:sp macro="" textlink="">
      <xdr:nvSpPr>
        <xdr:cNvPr id="19" name="Rectangle: Rounded Corners 18">
          <a:extLst>
            <a:ext uri="{FF2B5EF4-FFF2-40B4-BE49-F238E27FC236}">
              <a16:creationId xmlns:a16="http://schemas.microsoft.com/office/drawing/2014/main" id="{3BA69E18-0E98-11C5-C71E-7EECDCE267EC}"/>
            </a:ext>
          </a:extLst>
        </xdr:cNvPr>
        <xdr:cNvSpPr/>
      </xdr:nvSpPr>
      <xdr:spPr>
        <a:xfrm>
          <a:off x="769620" y="160020"/>
          <a:ext cx="12763500" cy="58674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1">
              <a:solidFill>
                <a:srgbClr val="002060"/>
              </a:solidFill>
            </a:rPr>
            <a:t>Course DashBoard</a:t>
          </a:r>
        </a:p>
      </xdr:txBody>
    </xdr:sp>
    <xdr:clientData/>
  </xdr:twoCellAnchor>
  <xdr:twoCellAnchor>
    <xdr:from>
      <xdr:col>2</xdr:col>
      <xdr:colOff>45720</xdr:colOff>
      <xdr:row>13</xdr:row>
      <xdr:rowOff>137160</xdr:rowOff>
    </xdr:from>
    <xdr:to>
      <xdr:col>3</xdr:col>
      <xdr:colOff>304800</xdr:colOff>
      <xdr:row>14</xdr:row>
      <xdr:rowOff>175260</xdr:rowOff>
    </xdr:to>
    <xdr:sp macro="" textlink="">
      <xdr:nvSpPr>
        <xdr:cNvPr id="21" name="TextBox 20">
          <a:extLst>
            <a:ext uri="{FF2B5EF4-FFF2-40B4-BE49-F238E27FC236}">
              <a16:creationId xmlns:a16="http://schemas.microsoft.com/office/drawing/2014/main" id="{4F833EDD-93A2-4E29-F0B7-2D7CF769F39A}"/>
            </a:ext>
          </a:extLst>
        </xdr:cNvPr>
        <xdr:cNvSpPr txBox="1"/>
      </xdr:nvSpPr>
      <xdr:spPr>
        <a:xfrm>
          <a:off x="1264920" y="2514600"/>
          <a:ext cx="86868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45720</xdr:colOff>
      <xdr:row>13</xdr:row>
      <xdr:rowOff>137160</xdr:rowOff>
    </xdr:from>
    <xdr:to>
      <xdr:col>3</xdr:col>
      <xdr:colOff>297180</xdr:colOff>
      <xdr:row>15</xdr:row>
      <xdr:rowOff>0</xdr:rowOff>
    </xdr:to>
    <xdr:sp macro="" textlink="">
      <xdr:nvSpPr>
        <xdr:cNvPr id="22" name="TextBox 21">
          <a:extLst>
            <a:ext uri="{FF2B5EF4-FFF2-40B4-BE49-F238E27FC236}">
              <a16:creationId xmlns:a16="http://schemas.microsoft.com/office/drawing/2014/main" id="{1E2A6C25-5EF0-4BAE-9680-D94316E211B3}"/>
            </a:ext>
          </a:extLst>
        </xdr:cNvPr>
        <xdr:cNvSpPr txBox="1"/>
      </xdr:nvSpPr>
      <xdr:spPr>
        <a:xfrm>
          <a:off x="1264920" y="2514600"/>
          <a:ext cx="8610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Enrolls</a:t>
          </a:r>
        </a:p>
      </xdr:txBody>
    </xdr:sp>
    <xdr:clientData/>
  </xdr:twoCellAnchor>
  <xdr:twoCellAnchor>
    <xdr:from>
      <xdr:col>2</xdr:col>
      <xdr:colOff>106680</xdr:colOff>
      <xdr:row>15</xdr:row>
      <xdr:rowOff>68580</xdr:rowOff>
    </xdr:from>
    <xdr:to>
      <xdr:col>3</xdr:col>
      <xdr:colOff>320040</xdr:colOff>
      <xdr:row>16</xdr:row>
      <xdr:rowOff>121920</xdr:rowOff>
    </xdr:to>
    <xdr:sp macro="" textlink="Sheet8!$C$25">
      <xdr:nvSpPr>
        <xdr:cNvPr id="23" name="TextBox 22">
          <a:extLst>
            <a:ext uri="{FF2B5EF4-FFF2-40B4-BE49-F238E27FC236}">
              <a16:creationId xmlns:a16="http://schemas.microsoft.com/office/drawing/2014/main" id="{148B1140-A179-47BD-8841-EAE2EB581120}"/>
            </a:ext>
          </a:extLst>
        </xdr:cNvPr>
        <xdr:cNvSpPr txBox="1"/>
      </xdr:nvSpPr>
      <xdr:spPr>
        <a:xfrm>
          <a:off x="1325880" y="2811780"/>
          <a:ext cx="8229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1C3257-77AA-4D4B-872A-C3C33E726BC1}" type="TxLink">
            <a:rPr lang="en-US" sz="1400" b="1" i="0" u="none" strike="noStrike">
              <a:solidFill>
                <a:srgbClr val="000000"/>
              </a:solidFill>
              <a:latin typeface="Calibri"/>
              <a:ea typeface="Calibri"/>
              <a:cs typeface="Calibri"/>
            </a:rPr>
            <a:pPr algn="ctr"/>
            <a:t>3009</a:t>
          </a:fld>
          <a:endParaRPr lang="en-IN" sz="1400" b="1"/>
        </a:p>
      </xdr:txBody>
    </xdr:sp>
    <xdr:clientData/>
  </xdr:twoCellAnchor>
  <xdr:twoCellAnchor>
    <xdr:from>
      <xdr:col>2</xdr:col>
      <xdr:colOff>236220</xdr:colOff>
      <xdr:row>21</xdr:row>
      <xdr:rowOff>106680</xdr:rowOff>
    </xdr:from>
    <xdr:to>
      <xdr:col>3</xdr:col>
      <xdr:colOff>342900</xdr:colOff>
      <xdr:row>22</xdr:row>
      <xdr:rowOff>121920</xdr:rowOff>
    </xdr:to>
    <xdr:sp macro="" textlink="">
      <xdr:nvSpPr>
        <xdr:cNvPr id="24" name="TextBox 23">
          <a:extLst>
            <a:ext uri="{FF2B5EF4-FFF2-40B4-BE49-F238E27FC236}">
              <a16:creationId xmlns:a16="http://schemas.microsoft.com/office/drawing/2014/main" id="{64D039F3-57CB-82CB-82F2-505A0B003B76}"/>
            </a:ext>
          </a:extLst>
        </xdr:cNvPr>
        <xdr:cNvSpPr txBox="1"/>
      </xdr:nvSpPr>
      <xdr:spPr>
        <a:xfrm>
          <a:off x="1455420" y="3947160"/>
          <a:ext cx="7162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Courses</a:t>
          </a:r>
        </a:p>
      </xdr:txBody>
    </xdr:sp>
    <xdr:clientData/>
  </xdr:twoCellAnchor>
  <xdr:twoCellAnchor>
    <xdr:from>
      <xdr:col>2</xdr:col>
      <xdr:colOff>274320</xdr:colOff>
      <xdr:row>23</xdr:row>
      <xdr:rowOff>0</xdr:rowOff>
    </xdr:from>
    <xdr:to>
      <xdr:col>3</xdr:col>
      <xdr:colOff>327660</xdr:colOff>
      <xdr:row>24</xdr:row>
      <xdr:rowOff>7620</xdr:rowOff>
    </xdr:to>
    <xdr:sp macro="" textlink="Sheet8!$C$28">
      <xdr:nvSpPr>
        <xdr:cNvPr id="25" name="TextBox 24">
          <a:extLst>
            <a:ext uri="{FF2B5EF4-FFF2-40B4-BE49-F238E27FC236}">
              <a16:creationId xmlns:a16="http://schemas.microsoft.com/office/drawing/2014/main" id="{37B5F978-26FC-1CE3-4BD8-100CDC078F2D}"/>
            </a:ext>
          </a:extLst>
        </xdr:cNvPr>
        <xdr:cNvSpPr txBox="1"/>
      </xdr:nvSpPr>
      <xdr:spPr>
        <a:xfrm>
          <a:off x="1493520" y="4206240"/>
          <a:ext cx="6629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B091DF-2886-4C22-8242-FC30C0E2B293}" type="TxLink">
            <a:rPr lang="en-US" sz="1400" b="1" i="0" u="none" strike="noStrike">
              <a:solidFill>
                <a:srgbClr val="000000"/>
              </a:solidFill>
              <a:latin typeface="Calibri"/>
              <a:ea typeface="Calibri"/>
              <a:cs typeface="Calibri"/>
            </a:rPr>
            <a:pPr algn="ctr"/>
            <a:t>45</a:t>
          </a:fld>
          <a:endParaRPr lang="en-IN"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 Rongali" refreshedDate="46181.51348090278" createdVersion="8" refreshedVersion="8" minRefreshableVersion="3" recordCount="181" xr:uid="{2F23B39E-6388-4409-8C8F-A418F0E0C114}">
  <cacheSource type="worksheet">
    <worksheetSource ref="A1:G182" sheet="Course Data"/>
  </cacheSource>
  <cacheFields count="9">
    <cacheField name="Date" numFmtId="164">
      <sharedItems containsSemiMixedTypes="0" containsNonDate="0" containsDate="1" containsString="0" minDate="2026-01-01T00:00:00" maxDate="2026-07-01T00:00:00" count="181">
        <d v="2026-01-05T00:00:00"/>
        <d v="2026-01-11T00:00:00"/>
        <d v="2026-01-15T00:00:00"/>
        <d v="2026-01-25T00:00:00"/>
        <d v="2026-01-26T00:00:00"/>
        <d v="2026-01-27T00:00:00"/>
        <d v="2026-02-03T00:00:00"/>
        <d v="2026-02-04T00:00:00"/>
        <d v="2026-02-07T00:00:00"/>
        <d v="2026-02-09T00:00:00"/>
        <d v="2026-02-10T00:00:00"/>
        <d v="2026-02-18T00:00:00"/>
        <d v="2026-02-25T00:00:00"/>
        <d v="2026-03-02T00:00:00"/>
        <d v="2026-03-05T00:00:00"/>
        <d v="2026-03-18T00:00:00"/>
        <d v="2026-03-19T00:00:00"/>
        <d v="2026-03-21T00:00:00"/>
        <d v="2026-03-27T00:00:00"/>
        <d v="2026-04-04T00:00:00"/>
        <d v="2026-04-08T00:00:00"/>
        <d v="2026-04-12T00:00:00"/>
        <d v="2026-04-16T00:00:00"/>
        <d v="2026-04-17T00:00:00"/>
        <d v="2026-05-01T00:00:00"/>
        <d v="2026-05-02T00:00:00"/>
        <d v="2026-05-07T00:00:00"/>
        <d v="2026-05-13T00:00:00"/>
        <d v="2026-05-17T00:00:00"/>
        <d v="2026-05-27T00:00:00"/>
        <d v="2026-05-28T00:00:00"/>
        <d v="2026-06-11T00:00:00"/>
        <d v="2026-06-19T00:00:00"/>
        <d v="2026-06-24T00:00:00"/>
        <d v="2026-06-25T00:00:00"/>
        <d v="2026-06-26T00:00:00"/>
        <d v="2026-06-30T00:00:00"/>
        <d v="2026-01-08T00:00:00"/>
        <d v="2026-01-24T00:00:00"/>
        <d v="2026-02-02T00:00:00"/>
        <d v="2026-02-08T00:00:00"/>
        <d v="2026-02-13T00:00:00"/>
        <d v="2026-02-24T00:00:00"/>
        <d v="2026-03-09T00:00:00"/>
        <d v="2026-03-16T00:00:00"/>
        <d v="2026-03-17T00:00:00"/>
        <d v="2026-03-23T00:00:00"/>
        <d v="2026-03-29T00:00:00"/>
        <d v="2026-04-06T00:00:00"/>
        <d v="2026-04-11T00:00:00"/>
        <d v="2026-04-14T00:00:00"/>
        <d v="2026-04-20T00:00:00"/>
        <d v="2026-04-23T00:00:00"/>
        <d v="2026-04-25T00:00:00"/>
        <d v="2026-05-14T00:00:00"/>
        <d v="2026-05-18T00:00:00"/>
        <d v="2026-05-31T00:00:00"/>
        <d v="2026-06-03T00:00:00"/>
        <d v="2026-06-05T00:00:00"/>
        <d v="2026-06-09T00:00:00"/>
        <d v="2026-06-13T00:00:00"/>
        <d v="2026-06-21T00:00:00"/>
        <d v="2026-01-01T00:00:00"/>
        <d v="2026-01-02T00:00:00"/>
        <d v="2026-01-14T00:00:00"/>
        <d v="2026-01-18T00:00:00"/>
        <d v="2026-01-21T00:00:00"/>
        <d v="2026-02-11T00:00:00"/>
        <d v="2026-02-15T00:00:00"/>
        <d v="2026-02-23T00:00:00"/>
        <d v="2026-02-26T00:00:00"/>
        <d v="2026-03-01T00:00:00"/>
        <d v="2026-03-04T00:00:00"/>
        <d v="2026-03-08T00:00:00"/>
        <d v="2026-03-15T00:00:00"/>
        <d v="2026-04-02T00:00:00"/>
        <d v="2026-04-15T00:00:00"/>
        <d v="2026-04-27T00:00:00"/>
        <d v="2026-04-28T00:00:00"/>
        <d v="2026-05-10T00:00:00"/>
        <d v="2026-05-24T00:00:00"/>
        <d v="2026-05-29T00:00:00"/>
        <d v="2026-06-01T00:00:00"/>
        <d v="2026-06-06T00:00:00"/>
        <d v="2026-06-14T00:00:00"/>
        <d v="2026-06-20T00:00:00"/>
        <d v="2026-06-22T00:00:00"/>
        <d v="2026-01-03T00:00:00"/>
        <d v="2026-01-09T00:00:00"/>
        <d v="2026-01-17T00:00:00"/>
        <d v="2026-01-28T00:00:00"/>
        <d v="2026-01-29T00:00:00"/>
        <d v="2026-02-01T00:00:00"/>
        <d v="2026-02-12T00:00:00"/>
        <d v="2026-02-16T00:00:00"/>
        <d v="2026-02-22T00:00:00"/>
        <d v="2026-02-28T00:00:00"/>
        <d v="2026-03-06T00:00:00"/>
        <d v="2026-03-10T00:00:00"/>
        <d v="2026-03-12T00:00:00"/>
        <d v="2026-03-13T00:00:00"/>
        <d v="2026-03-22T00:00:00"/>
        <d v="2026-03-25T00:00:00"/>
        <d v="2026-04-03T00:00:00"/>
        <d v="2026-04-07T00:00:00"/>
        <d v="2026-04-18T00:00:00"/>
        <d v="2026-04-29T00:00:00"/>
        <d v="2026-05-12T00:00:00"/>
        <d v="2026-05-16T00:00:00"/>
        <d v="2026-05-20T00:00:00"/>
        <d v="2026-05-21T00:00:00"/>
        <d v="2026-05-22T00:00:00"/>
        <d v="2026-05-25T00:00:00"/>
        <d v="2026-06-04T00:00:00"/>
        <d v="2026-06-07T00:00:00"/>
        <d v="2026-06-08T00:00:00"/>
        <d v="2026-06-23T00:00:00"/>
        <d v="2026-06-29T00:00:00"/>
        <d v="2026-01-07T00:00:00"/>
        <d v="2026-01-10T00:00:00"/>
        <d v="2026-01-13T00:00:00"/>
        <d v="2026-01-19T00:00:00"/>
        <d v="2026-01-31T00:00:00"/>
        <d v="2026-02-14T00:00:00"/>
        <d v="2026-02-19T00:00:00"/>
        <d v="2026-02-20T00:00:00"/>
        <d v="2026-03-03T00:00:00"/>
        <d v="2026-03-24T00:00:00"/>
        <d v="2026-03-26T00:00:00"/>
        <d v="2026-03-28T00:00:00"/>
        <d v="2026-03-31T00:00:00"/>
        <d v="2026-04-01T00:00:00"/>
        <d v="2026-04-05T00:00:00"/>
        <d v="2026-04-10T00:00:00"/>
        <d v="2026-04-19T00:00:00"/>
        <d v="2026-04-21T00:00:00"/>
        <d v="2026-04-22T00:00:00"/>
        <d v="2026-04-30T00:00:00"/>
        <d v="2026-05-03T00:00:00"/>
        <d v="2026-05-04T00:00:00"/>
        <d v="2026-05-08T00:00:00"/>
        <d v="2026-05-09T00:00:00"/>
        <d v="2026-05-15T00:00:00"/>
        <d v="2026-05-19T00:00:00"/>
        <d v="2026-05-23T00:00:00"/>
        <d v="2026-05-26T00:00:00"/>
        <d v="2026-06-02T00:00:00"/>
        <d v="2026-06-12T00:00:00"/>
        <d v="2026-06-16T00:00:00"/>
        <d v="2026-06-28T00:00:00"/>
        <d v="2026-01-04T00:00:00"/>
        <d v="2026-01-06T00:00:00"/>
        <d v="2026-01-12T00:00:00"/>
        <d v="2026-01-16T00:00:00"/>
        <d v="2026-01-20T00:00:00"/>
        <d v="2026-01-22T00:00:00"/>
        <d v="2026-01-23T00:00:00"/>
        <d v="2026-01-30T00:00:00"/>
        <d v="2026-02-05T00:00:00"/>
        <d v="2026-02-06T00:00:00"/>
        <d v="2026-02-17T00:00:00"/>
        <d v="2026-02-21T00:00:00"/>
        <d v="2026-02-27T00:00:00"/>
        <d v="2026-03-07T00:00:00"/>
        <d v="2026-03-11T00:00:00"/>
        <d v="2026-03-14T00:00:00"/>
        <d v="2026-03-20T00:00:00"/>
        <d v="2026-03-30T00:00:00"/>
        <d v="2026-04-09T00:00:00"/>
        <d v="2026-04-13T00:00:00"/>
        <d v="2026-04-24T00:00:00"/>
        <d v="2026-04-26T00:00:00"/>
        <d v="2026-05-05T00:00:00"/>
        <d v="2026-05-06T00:00:00"/>
        <d v="2026-05-11T00:00:00"/>
        <d v="2026-05-30T00:00:00"/>
        <d v="2026-06-10T00:00:00"/>
        <d v="2026-06-15T00:00:00"/>
        <d v="2026-06-17T00:00:00"/>
        <d v="2026-06-18T00:00:00"/>
        <d v="2026-06-27T00:00:00"/>
      </sharedItems>
      <fieldGroup par="8"/>
    </cacheField>
    <cacheField name="Course Name" numFmtId="0">
      <sharedItems count="6">
        <s v="Alteryx"/>
        <s v="Excel"/>
        <s v="Power Bi"/>
        <s v="Python"/>
        <s v="SQL Server"/>
        <s v="VBA Macros"/>
      </sharedItems>
    </cacheField>
    <cacheField name="Instructor" numFmtId="0">
      <sharedItems count="6">
        <s v="Sarah John Miller"/>
        <s v="Vara"/>
        <s v="John Miller"/>
        <s v="Emily Davis"/>
        <s v="CSNR"/>
        <s v="David Brown"/>
      </sharedItems>
    </cacheField>
    <cacheField name="Category" numFmtId="0">
      <sharedItems count="4">
        <s v="Finance"/>
        <s v="Business"/>
        <s v="Data"/>
        <s v="Technology"/>
      </sharedItems>
    </cacheField>
    <cacheField name="State " numFmtId="0">
      <sharedItems count="6">
        <s v="Texas"/>
        <s v="California"/>
        <s v="New York"/>
        <s v="Florida"/>
        <s v="Illinois"/>
        <s v="Washington"/>
      </sharedItems>
    </cacheField>
    <cacheField name="Enrollments" numFmtId="0">
      <sharedItems containsSemiMixedTypes="0" containsString="0" containsNumber="1" containsInteger="1" minValue="20" maxValue="120"/>
    </cacheField>
    <cacheField name="Revenue USD" numFmtId="0">
      <sharedItems containsSemiMixedTypes="0" containsString="0" containsNumber="1" containsInteger="1" minValue="1700" maxValue="5060" count="177">
        <n v="3323"/>
        <n v="4141"/>
        <n v="1736"/>
        <n v="4731"/>
        <n v="3788"/>
        <n v="4027"/>
        <n v="2962"/>
        <n v="2878"/>
        <n v="4677"/>
        <n v="2784"/>
        <n v="4212"/>
        <n v="4914"/>
        <n v="4714"/>
        <n v="4028"/>
        <n v="5060"/>
        <n v="3479"/>
        <n v="3700"/>
        <n v="2185"/>
        <n v="1820"/>
        <n v="4795"/>
        <n v="1700"/>
        <n v="1841"/>
        <n v="2017"/>
        <n v="2853"/>
        <n v="4982"/>
        <n v="2948"/>
        <n v="2603"/>
        <n v="2390"/>
        <n v="4083"/>
        <n v="2084"/>
        <n v="4125"/>
        <n v="2939"/>
        <n v="3743"/>
        <n v="4317"/>
        <n v="3376"/>
        <n v="4936"/>
        <n v="2546"/>
        <n v="3104"/>
        <n v="2285"/>
        <n v="3383"/>
        <n v="2389"/>
        <n v="3908"/>
        <n v="3644"/>
        <n v="4634"/>
        <n v="4794"/>
        <n v="4256"/>
        <n v="4133"/>
        <n v="2074"/>
        <n v="1873"/>
        <n v="3392"/>
        <n v="2306"/>
        <n v="3753"/>
        <n v="3472"/>
        <n v="3607"/>
        <n v="1899"/>
        <n v="2374"/>
        <n v="2941"/>
        <n v="3367"/>
        <n v="3651"/>
        <n v="4953"/>
        <n v="2311"/>
        <n v="1916"/>
        <n v="1788"/>
        <n v="2864"/>
        <n v="4646"/>
        <n v="4730"/>
        <n v="2910"/>
        <n v="1825"/>
        <n v="3416"/>
        <n v="2688"/>
        <n v="2823"/>
        <n v="4674"/>
        <n v="2249"/>
        <n v="3621"/>
        <n v="1979"/>
        <n v="4186"/>
        <n v="4229"/>
        <n v="2367"/>
        <n v="4335"/>
        <n v="5055"/>
        <n v="3328"/>
        <n v="4939"/>
        <n v="4743"/>
        <n v="4314"/>
        <n v="3419"/>
        <n v="4325"/>
        <n v="4594"/>
        <n v="3537"/>
        <n v="2743"/>
        <n v="4510"/>
        <n v="2241"/>
        <n v="4705"/>
        <n v="4808"/>
        <n v="4359"/>
        <n v="2860"/>
        <n v="3693"/>
        <n v="1973"/>
        <n v="4863"/>
        <n v="4645"/>
        <n v="4234"/>
        <n v="4918"/>
        <n v="1842"/>
        <n v="1835"/>
        <n v="4039"/>
        <n v="4375"/>
        <n v="4809"/>
        <n v="3361"/>
        <n v="4194"/>
        <n v="3846"/>
        <n v="2183"/>
        <n v="3215"/>
        <n v="3591"/>
        <n v="3871"/>
        <n v="1963"/>
        <n v="2363"/>
        <n v="4612"/>
        <n v="3436"/>
        <n v="1716"/>
        <n v="3634"/>
        <n v="2246"/>
        <n v="4925"/>
        <n v="2970"/>
        <n v="3949"/>
        <n v="3547"/>
        <n v="4289"/>
        <n v="3391"/>
        <n v="4305"/>
        <n v="2965"/>
        <n v="4793"/>
        <n v="4037"/>
        <n v="4960"/>
        <n v="4763"/>
        <n v="4162"/>
        <n v="2974"/>
        <n v="3189"/>
        <n v="2128"/>
        <n v="4247"/>
        <n v="2402"/>
        <n v="4867"/>
        <n v="4892"/>
        <n v="2568"/>
        <n v="4858"/>
        <n v="2524"/>
        <n v="3241"/>
        <n v="2724"/>
        <n v="2160"/>
        <n v="2254"/>
        <n v="1960"/>
        <n v="3403"/>
        <n v="3905"/>
        <n v="2504"/>
        <n v="2986"/>
        <n v="3612"/>
        <n v="3301"/>
        <n v="3193"/>
        <n v="4735"/>
        <n v="3956"/>
        <n v="3599"/>
        <n v="3296"/>
        <n v="3100"/>
        <n v="4227"/>
        <n v="1994"/>
        <n v="2645"/>
        <n v="2156"/>
        <n v="4107"/>
        <n v="2744"/>
        <n v="3354"/>
        <n v="4446"/>
        <n v="3557"/>
        <n v="4098"/>
        <n v="4785"/>
        <n v="2760"/>
        <n v="4277"/>
        <n v="3556"/>
        <n v="3632"/>
        <n v="2076"/>
        <n v="1777"/>
      </sharedItems>
    </cacheField>
    <cacheField name="Days (Date)" numFmtId="0" databaseField="0">
      <fieldGroup base="0">
        <rangePr groupBy="days" startDate="2026-01-01T00:00:00" endDate="2026-07-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6"/>
        </groupItems>
      </fieldGroup>
    </cacheField>
    <cacheField name="Months (Date)" numFmtId="0" databaseField="0">
      <fieldGroup base="0">
        <rangePr groupBy="months" startDate="2026-01-01T00:00:00" endDate="2026-07-01T00:00:00"/>
        <groupItems count="14">
          <s v="&lt;1/1/2026"/>
          <s v="Jan"/>
          <s v="Feb"/>
          <s v="Mar"/>
          <s v="Apr"/>
          <s v="May"/>
          <s v="Jun"/>
          <s v="Jul"/>
          <s v="Aug"/>
          <s v="Sep"/>
          <s v="Oct"/>
          <s v="Nov"/>
          <s v="Dec"/>
          <s v="&gt;7/1/2026"/>
        </groupItems>
      </fieldGroup>
    </cacheField>
  </cacheFields>
  <extLst>
    <ext xmlns:x14="http://schemas.microsoft.com/office/spreadsheetml/2009/9/main" uri="{725AE2AE-9491-48be-B2B4-4EB974FC3084}">
      <x14:pivotCacheDefinition pivotCacheId="2267563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x v="0"/>
    <x v="0"/>
    <x v="0"/>
    <x v="0"/>
    <x v="0"/>
    <n v="29"/>
    <x v="0"/>
  </r>
  <r>
    <x v="1"/>
    <x v="0"/>
    <x v="1"/>
    <x v="1"/>
    <x v="0"/>
    <n v="82"/>
    <x v="1"/>
  </r>
  <r>
    <x v="2"/>
    <x v="0"/>
    <x v="2"/>
    <x v="2"/>
    <x v="1"/>
    <n v="54"/>
    <x v="2"/>
  </r>
  <r>
    <x v="3"/>
    <x v="0"/>
    <x v="3"/>
    <x v="0"/>
    <x v="2"/>
    <n v="39"/>
    <x v="3"/>
  </r>
  <r>
    <x v="4"/>
    <x v="0"/>
    <x v="0"/>
    <x v="3"/>
    <x v="0"/>
    <n v="53"/>
    <x v="4"/>
  </r>
  <r>
    <x v="5"/>
    <x v="0"/>
    <x v="3"/>
    <x v="0"/>
    <x v="3"/>
    <n v="118"/>
    <x v="5"/>
  </r>
  <r>
    <x v="6"/>
    <x v="0"/>
    <x v="2"/>
    <x v="0"/>
    <x v="4"/>
    <n v="111"/>
    <x v="6"/>
  </r>
  <r>
    <x v="7"/>
    <x v="0"/>
    <x v="4"/>
    <x v="1"/>
    <x v="4"/>
    <n v="118"/>
    <x v="7"/>
  </r>
  <r>
    <x v="8"/>
    <x v="0"/>
    <x v="1"/>
    <x v="0"/>
    <x v="0"/>
    <n v="76"/>
    <x v="8"/>
  </r>
  <r>
    <x v="9"/>
    <x v="0"/>
    <x v="2"/>
    <x v="3"/>
    <x v="5"/>
    <n v="118"/>
    <x v="9"/>
  </r>
  <r>
    <x v="10"/>
    <x v="0"/>
    <x v="3"/>
    <x v="2"/>
    <x v="1"/>
    <n v="46"/>
    <x v="10"/>
  </r>
  <r>
    <x v="11"/>
    <x v="0"/>
    <x v="0"/>
    <x v="1"/>
    <x v="4"/>
    <n v="21"/>
    <x v="11"/>
  </r>
  <r>
    <x v="12"/>
    <x v="0"/>
    <x v="4"/>
    <x v="0"/>
    <x v="0"/>
    <n v="89"/>
    <x v="12"/>
  </r>
  <r>
    <x v="13"/>
    <x v="0"/>
    <x v="2"/>
    <x v="1"/>
    <x v="1"/>
    <n v="44"/>
    <x v="13"/>
  </r>
  <r>
    <x v="14"/>
    <x v="0"/>
    <x v="3"/>
    <x v="0"/>
    <x v="2"/>
    <n v="71"/>
    <x v="14"/>
  </r>
  <r>
    <x v="15"/>
    <x v="0"/>
    <x v="4"/>
    <x v="2"/>
    <x v="0"/>
    <n v="71"/>
    <x v="15"/>
  </r>
  <r>
    <x v="16"/>
    <x v="0"/>
    <x v="5"/>
    <x v="3"/>
    <x v="0"/>
    <n v="84"/>
    <x v="16"/>
  </r>
  <r>
    <x v="17"/>
    <x v="0"/>
    <x v="3"/>
    <x v="1"/>
    <x v="5"/>
    <n v="20"/>
    <x v="17"/>
  </r>
  <r>
    <x v="18"/>
    <x v="0"/>
    <x v="1"/>
    <x v="3"/>
    <x v="0"/>
    <n v="94"/>
    <x v="18"/>
  </r>
  <r>
    <x v="19"/>
    <x v="0"/>
    <x v="1"/>
    <x v="0"/>
    <x v="5"/>
    <n v="96"/>
    <x v="19"/>
  </r>
  <r>
    <x v="20"/>
    <x v="0"/>
    <x v="5"/>
    <x v="2"/>
    <x v="3"/>
    <n v="90"/>
    <x v="20"/>
  </r>
  <r>
    <x v="21"/>
    <x v="0"/>
    <x v="0"/>
    <x v="2"/>
    <x v="3"/>
    <n v="58"/>
    <x v="21"/>
  </r>
  <r>
    <x v="22"/>
    <x v="0"/>
    <x v="4"/>
    <x v="0"/>
    <x v="1"/>
    <n v="71"/>
    <x v="22"/>
  </r>
  <r>
    <x v="23"/>
    <x v="0"/>
    <x v="1"/>
    <x v="3"/>
    <x v="3"/>
    <n v="56"/>
    <x v="23"/>
  </r>
  <r>
    <x v="24"/>
    <x v="0"/>
    <x v="2"/>
    <x v="1"/>
    <x v="0"/>
    <n v="49"/>
    <x v="24"/>
  </r>
  <r>
    <x v="25"/>
    <x v="0"/>
    <x v="3"/>
    <x v="0"/>
    <x v="0"/>
    <n v="88"/>
    <x v="25"/>
  </r>
  <r>
    <x v="26"/>
    <x v="0"/>
    <x v="4"/>
    <x v="1"/>
    <x v="3"/>
    <n v="25"/>
    <x v="26"/>
  </r>
  <r>
    <x v="27"/>
    <x v="0"/>
    <x v="3"/>
    <x v="1"/>
    <x v="4"/>
    <n v="99"/>
    <x v="27"/>
  </r>
  <r>
    <x v="28"/>
    <x v="0"/>
    <x v="2"/>
    <x v="3"/>
    <x v="3"/>
    <n v="31"/>
    <x v="28"/>
  </r>
  <r>
    <x v="29"/>
    <x v="0"/>
    <x v="3"/>
    <x v="2"/>
    <x v="0"/>
    <n v="110"/>
    <x v="29"/>
  </r>
  <r>
    <x v="30"/>
    <x v="0"/>
    <x v="5"/>
    <x v="2"/>
    <x v="4"/>
    <n v="102"/>
    <x v="30"/>
  </r>
  <r>
    <x v="31"/>
    <x v="0"/>
    <x v="0"/>
    <x v="0"/>
    <x v="0"/>
    <n v="120"/>
    <x v="31"/>
  </r>
  <r>
    <x v="32"/>
    <x v="0"/>
    <x v="5"/>
    <x v="2"/>
    <x v="1"/>
    <n v="29"/>
    <x v="32"/>
  </r>
  <r>
    <x v="33"/>
    <x v="0"/>
    <x v="5"/>
    <x v="0"/>
    <x v="1"/>
    <n v="103"/>
    <x v="33"/>
  </r>
  <r>
    <x v="34"/>
    <x v="0"/>
    <x v="1"/>
    <x v="1"/>
    <x v="2"/>
    <n v="64"/>
    <x v="34"/>
  </r>
  <r>
    <x v="35"/>
    <x v="0"/>
    <x v="0"/>
    <x v="3"/>
    <x v="3"/>
    <n v="80"/>
    <x v="35"/>
  </r>
  <r>
    <x v="36"/>
    <x v="0"/>
    <x v="0"/>
    <x v="2"/>
    <x v="4"/>
    <n v="90"/>
    <x v="36"/>
  </r>
  <r>
    <x v="37"/>
    <x v="1"/>
    <x v="2"/>
    <x v="2"/>
    <x v="3"/>
    <n v="45"/>
    <x v="37"/>
  </r>
  <r>
    <x v="38"/>
    <x v="1"/>
    <x v="5"/>
    <x v="3"/>
    <x v="4"/>
    <n v="48"/>
    <x v="38"/>
  </r>
  <r>
    <x v="39"/>
    <x v="1"/>
    <x v="5"/>
    <x v="0"/>
    <x v="0"/>
    <n v="33"/>
    <x v="39"/>
  </r>
  <r>
    <x v="40"/>
    <x v="1"/>
    <x v="0"/>
    <x v="1"/>
    <x v="0"/>
    <n v="48"/>
    <x v="40"/>
  </r>
  <r>
    <x v="41"/>
    <x v="1"/>
    <x v="1"/>
    <x v="2"/>
    <x v="2"/>
    <n v="41"/>
    <x v="41"/>
  </r>
  <r>
    <x v="42"/>
    <x v="1"/>
    <x v="0"/>
    <x v="3"/>
    <x v="4"/>
    <n v="32"/>
    <x v="42"/>
  </r>
  <r>
    <x v="43"/>
    <x v="1"/>
    <x v="0"/>
    <x v="1"/>
    <x v="5"/>
    <n v="48"/>
    <x v="43"/>
  </r>
  <r>
    <x v="44"/>
    <x v="1"/>
    <x v="5"/>
    <x v="2"/>
    <x v="2"/>
    <n v="115"/>
    <x v="44"/>
  </r>
  <r>
    <x v="45"/>
    <x v="1"/>
    <x v="4"/>
    <x v="2"/>
    <x v="4"/>
    <n v="70"/>
    <x v="45"/>
  </r>
  <r>
    <x v="46"/>
    <x v="1"/>
    <x v="5"/>
    <x v="1"/>
    <x v="3"/>
    <n v="67"/>
    <x v="46"/>
  </r>
  <r>
    <x v="47"/>
    <x v="1"/>
    <x v="4"/>
    <x v="1"/>
    <x v="1"/>
    <n v="92"/>
    <x v="47"/>
  </r>
  <r>
    <x v="48"/>
    <x v="1"/>
    <x v="0"/>
    <x v="3"/>
    <x v="2"/>
    <n v="44"/>
    <x v="48"/>
  </r>
  <r>
    <x v="49"/>
    <x v="1"/>
    <x v="0"/>
    <x v="1"/>
    <x v="2"/>
    <n v="36"/>
    <x v="49"/>
  </r>
  <r>
    <x v="50"/>
    <x v="1"/>
    <x v="1"/>
    <x v="0"/>
    <x v="2"/>
    <n v="100"/>
    <x v="50"/>
  </r>
  <r>
    <x v="51"/>
    <x v="1"/>
    <x v="4"/>
    <x v="2"/>
    <x v="0"/>
    <n v="21"/>
    <x v="51"/>
  </r>
  <r>
    <x v="52"/>
    <x v="1"/>
    <x v="3"/>
    <x v="2"/>
    <x v="3"/>
    <n v="48"/>
    <x v="52"/>
  </r>
  <r>
    <x v="53"/>
    <x v="1"/>
    <x v="1"/>
    <x v="2"/>
    <x v="3"/>
    <n v="91"/>
    <x v="53"/>
  </r>
  <r>
    <x v="54"/>
    <x v="1"/>
    <x v="1"/>
    <x v="3"/>
    <x v="0"/>
    <n v="117"/>
    <x v="54"/>
  </r>
  <r>
    <x v="55"/>
    <x v="1"/>
    <x v="1"/>
    <x v="2"/>
    <x v="2"/>
    <n v="108"/>
    <x v="55"/>
  </r>
  <r>
    <x v="56"/>
    <x v="1"/>
    <x v="3"/>
    <x v="2"/>
    <x v="3"/>
    <n v="67"/>
    <x v="56"/>
  </r>
  <r>
    <x v="57"/>
    <x v="1"/>
    <x v="2"/>
    <x v="1"/>
    <x v="3"/>
    <n v="104"/>
    <x v="57"/>
  </r>
  <r>
    <x v="58"/>
    <x v="1"/>
    <x v="2"/>
    <x v="0"/>
    <x v="3"/>
    <n v="76"/>
    <x v="58"/>
  </r>
  <r>
    <x v="59"/>
    <x v="1"/>
    <x v="0"/>
    <x v="3"/>
    <x v="4"/>
    <n v="52"/>
    <x v="59"/>
  </r>
  <r>
    <x v="60"/>
    <x v="1"/>
    <x v="3"/>
    <x v="3"/>
    <x v="2"/>
    <n v="78"/>
    <x v="60"/>
  </r>
  <r>
    <x v="61"/>
    <x v="1"/>
    <x v="1"/>
    <x v="0"/>
    <x v="3"/>
    <n v="79"/>
    <x v="61"/>
  </r>
  <r>
    <x v="62"/>
    <x v="2"/>
    <x v="1"/>
    <x v="0"/>
    <x v="4"/>
    <n v="30"/>
    <x v="62"/>
  </r>
  <r>
    <x v="63"/>
    <x v="2"/>
    <x v="3"/>
    <x v="1"/>
    <x v="5"/>
    <n v="95"/>
    <x v="63"/>
  </r>
  <r>
    <x v="64"/>
    <x v="2"/>
    <x v="4"/>
    <x v="1"/>
    <x v="5"/>
    <n v="90"/>
    <x v="64"/>
  </r>
  <r>
    <x v="65"/>
    <x v="2"/>
    <x v="0"/>
    <x v="3"/>
    <x v="5"/>
    <n v="89"/>
    <x v="65"/>
  </r>
  <r>
    <x v="66"/>
    <x v="2"/>
    <x v="4"/>
    <x v="0"/>
    <x v="3"/>
    <n v="57"/>
    <x v="66"/>
  </r>
  <r>
    <x v="67"/>
    <x v="2"/>
    <x v="2"/>
    <x v="1"/>
    <x v="1"/>
    <n v="83"/>
    <x v="67"/>
  </r>
  <r>
    <x v="68"/>
    <x v="2"/>
    <x v="1"/>
    <x v="0"/>
    <x v="3"/>
    <n v="80"/>
    <x v="68"/>
  </r>
  <r>
    <x v="69"/>
    <x v="2"/>
    <x v="5"/>
    <x v="0"/>
    <x v="1"/>
    <n v="45"/>
    <x v="69"/>
  </r>
  <r>
    <x v="70"/>
    <x v="2"/>
    <x v="0"/>
    <x v="3"/>
    <x v="0"/>
    <n v="61"/>
    <x v="70"/>
  </r>
  <r>
    <x v="71"/>
    <x v="2"/>
    <x v="3"/>
    <x v="0"/>
    <x v="5"/>
    <n v="116"/>
    <x v="71"/>
  </r>
  <r>
    <x v="72"/>
    <x v="2"/>
    <x v="3"/>
    <x v="3"/>
    <x v="5"/>
    <n v="42"/>
    <x v="72"/>
  </r>
  <r>
    <x v="73"/>
    <x v="2"/>
    <x v="5"/>
    <x v="1"/>
    <x v="3"/>
    <n v="118"/>
    <x v="73"/>
  </r>
  <r>
    <x v="74"/>
    <x v="2"/>
    <x v="5"/>
    <x v="2"/>
    <x v="5"/>
    <n v="90"/>
    <x v="74"/>
  </r>
  <r>
    <x v="75"/>
    <x v="2"/>
    <x v="5"/>
    <x v="2"/>
    <x v="0"/>
    <n v="52"/>
    <x v="75"/>
  </r>
  <r>
    <x v="76"/>
    <x v="2"/>
    <x v="0"/>
    <x v="2"/>
    <x v="5"/>
    <n v="97"/>
    <x v="76"/>
  </r>
  <r>
    <x v="77"/>
    <x v="2"/>
    <x v="0"/>
    <x v="3"/>
    <x v="1"/>
    <n v="97"/>
    <x v="77"/>
  </r>
  <r>
    <x v="78"/>
    <x v="2"/>
    <x v="3"/>
    <x v="0"/>
    <x v="2"/>
    <n v="100"/>
    <x v="78"/>
  </r>
  <r>
    <x v="79"/>
    <x v="2"/>
    <x v="0"/>
    <x v="0"/>
    <x v="1"/>
    <n v="30"/>
    <x v="79"/>
  </r>
  <r>
    <x v="80"/>
    <x v="2"/>
    <x v="0"/>
    <x v="0"/>
    <x v="0"/>
    <n v="52"/>
    <x v="80"/>
  </r>
  <r>
    <x v="81"/>
    <x v="2"/>
    <x v="4"/>
    <x v="2"/>
    <x v="3"/>
    <n v="49"/>
    <x v="81"/>
  </r>
  <r>
    <x v="82"/>
    <x v="2"/>
    <x v="5"/>
    <x v="2"/>
    <x v="2"/>
    <n v="47"/>
    <x v="82"/>
  </r>
  <r>
    <x v="83"/>
    <x v="2"/>
    <x v="0"/>
    <x v="3"/>
    <x v="2"/>
    <n v="84"/>
    <x v="83"/>
  </r>
  <r>
    <x v="84"/>
    <x v="2"/>
    <x v="0"/>
    <x v="3"/>
    <x v="4"/>
    <n v="83"/>
    <x v="84"/>
  </r>
  <r>
    <x v="85"/>
    <x v="2"/>
    <x v="1"/>
    <x v="1"/>
    <x v="5"/>
    <n v="26"/>
    <x v="85"/>
  </r>
  <r>
    <x v="86"/>
    <x v="2"/>
    <x v="0"/>
    <x v="3"/>
    <x v="1"/>
    <n v="88"/>
    <x v="86"/>
  </r>
  <r>
    <x v="87"/>
    <x v="3"/>
    <x v="5"/>
    <x v="2"/>
    <x v="5"/>
    <n v="107"/>
    <x v="87"/>
  </r>
  <r>
    <x v="88"/>
    <x v="3"/>
    <x v="0"/>
    <x v="1"/>
    <x v="0"/>
    <n v="80"/>
    <x v="88"/>
  </r>
  <r>
    <x v="89"/>
    <x v="3"/>
    <x v="3"/>
    <x v="0"/>
    <x v="2"/>
    <n v="106"/>
    <x v="89"/>
  </r>
  <r>
    <x v="90"/>
    <x v="3"/>
    <x v="3"/>
    <x v="0"/>
    <x v="2"/>
    <n v="87"/>
    <x v="90"/>
  </r>
  <r>
    <x v="91"/>
    <x v="3"/>
    <x v="1"/>
    <x v="2"/>
    <x v="3"/>
    <n v="45"/>
    <x v="91"/>
  </r>
  <r>
    <x v="92"/>
    <x v="3"/>
    <x v="4"/>
    <x v="3"/>
    <x v="4"/>
    <n v="32"/>
    <x v="92"/>
  </r>
  <r>
    <x v="93"/>
    <x v="3"/>
    <x v="2"/>
    <x v="2"/>
    <x v="0"/>
    <n v="78"/>
    <x v="93"/>
  </r>
  <r>
    <x v="94"/>
    <x v="3"/>
    <x v="3"/>
    <x v="0"/>
    <x v="0"/>
    <n v="96"/>
    <x v="94"/>
  </r>
  <r>
    <x v="95"/>
    <x v="3"/>
    <x v="1"/>
    <x v="3"/>
    <x v="5"/>
    <n v="84"/>
    <x v="95"/>
  </r>
  <r>
    <x v="96"/>
    <x v="3"/>
    <x v="5"/>
    <x v="2"/>
    <x v="2"/>
    <n v="80"/>
    <x v="96"/>
  </r>
  <r>
    <x v="97"/>
    <x v="3"/>
    <x v="1"/>
    <x v="1"/>
    <x v="2"/>
    <n v="21"/>
    <x v="97"/>
  </r>
  <r>
    <x v="98"/>
    <x v="3"/>
    <x v="5"/>
    <x v="0"/>
    <x v="1"/>
    <n v="26"/>
    <x v="98"/>
  </r>
  <r>
    <x v="99"/>
    <x v="3"/>
    <x v="5"/>
    <x v="0"/>
    <x v="5"/>
    <n v="23"/>
    <x v="99"/>
  </r>
  <r>
    <x v="100"/>
    <x v="3"/>
    <x v="2"/>
    <x v="2"/>
    <x v="2"/>
    <n v="104"/>
    <x v="100"/>
  </r>
  <r>
    <x v="101"/>
    <x v="3"/>
    <x v="3"/>
    <x v="3"/>
    <x v="4"/>
    <n v="37"/>
    <x v="101"/>
  </r>
  <r>
    <x v="102"/>
    <x v="3"/>
    <x v="2"/>
    <x v="1"/>
    <x v="5"/>
    <n v="82"/>
    <x v="102"/>
  </r>
  <r>
    <x v="103"/>
    <x v="3"/>
    <x v="5"/>
    <x v="2"/>
    <x v="1"/>
    <n v="58"/>
    <x v="103"/>
  </r>
  <r>
    <x v="104"/>
    <x v="3"/>
    <x v="3"/>
    <x v="1"/>
    <x v="2"/>
    <n v="109"/>
    <x v="104"/>
  </r>
  <r>
    <x v="105"/>
    <x v="3"/>
    <x v="0"/>
    <x v="3"/>
    <x v="1"/>
    <n v="63"/>
    <x v="105"/>
  </r>
  <r>
    <x v="106"/>
    <x v="3"/>
    <x v="5"/>
    <x v="1"/>
    <x v="0"/>
    <n v="100"/>
    <x v="106"/>
  </r>
  <r>
    <x v="107"/>
    <x v="3"/>
    <x v="3"/>
    <x v="0"/>
    <x v="3"/>
    <n v="103"/>
    <x v="107"/>
  </r>
  <r>
    <x v="108"/>
    <x v="3"/>
    <x v="0"/>
    <x v="3"/>
    <x v="5"/>
    <n v="40"/>
    <x v="108"/>
  </r>
  <r>
    <x v="109"/>
    <x v="3"/>
    <x v="3"/>
    <x v="2"/>
    <x v="2"/>
    <n v="38"/>
    <x v="109"/>
  </r>
  <r>
    <x v="110"/>
    <x v="3"/>
    <x v="0"/>
    <x v="1"/>
    <x v="1"/>
    <n v="22"/>
    <x v="110"/>
  </r>
  <r>
    <x v="111"/>
    <x v="3"/>
    <x v="5"/>
    <x v="2"/>
    <x v="3"/>
    <n v="50"/>
    <x v="111"/>
  </r>
  <r>
    <x v="112"/>
    <x v="3"/>
    <x v="3"/>
    <x v="2"/>
    <x v="5"/>
    <n v="112"/>
    <x v="112"/>
  </r>
  <r>
    <x v="113"/>
    <x v="3"/>
    <x v="0"/>
    <x v="1"/>
    <x v="3"/>
    <n v="37"/>
    <x v="113"/>
  </r>
  <r>
    <x v="114"/>
    <x v="3"/>
    <x v="1"/>
    <x v="3"/>
    <x v="0"/>
    <n v="59"/>
    <x v="114"/>
  </r>
  <r>
    <x v="115"/>
    <x v="3"/>
    <x v="4"/>
    <x v="0"/>
    <x v="2"/>
    <n v="79"/>
    <x v="115"/>
  </r>
  <r>
    <x v="116"/>
    <x v="3"/>
    <x v="0"/>
    <x v="2"/>
    <x v="4"/>
    <n v="104"/>
    <x v="116"/>
  </r>
  <r>
    <x v="117"/>
    <x v="3"/>
    <x v="0"/>
    <x v="2"/>
    <x v="3"/>
    <n v="94"/>
    <x v="117"/>
  </r>
  <r>
    <x v="118"/>
    <x v="4"/>
    <x v="3"/>
    <x v="0"/>
    <x v="3"/>
    <n v="81"/>
    <x v="118"/>
  </r>
  <r>
    <x v="119"/>
    <x v="4"/>
    <x v="4"/>
    <x v="2"/>
    <x v="4"/>
    <n v="74"/>
    <x v="119"/>
  </r>
  <r>
    <x v="120"/>
    <x v="4"/>
    <x v="1"/>
    <x v="1"/>
    <x v="4"/>
    <n v="87"/>
    <x v="120"/>
  </r>
  <r>
    <x v="121"/>
    <x v="4"/>
    <x v="5"/>
    <x v="3"/>
    <x v="4"/>
    <n v="90"/>
    <x v="121"/>
  </r>
  <r>
    <x v="122"/>
    <x v="4"/>
    <x v="5"/>
    <x v="2"/>
    <x v="4"/>
    <n v="102"/>
    <x v="122"/>
  </r>
  <r>
    <x v="123"/>
    <x v="4"/>
    <x v="4"/>
    <x v="1"/>
    <x v="0"/>
    <n v="60"/>
    <x v="123"/>
  </r>
  <r>
    <x v="124"/>
    <x v="4"/>
    <x v="3"/>
    <x v="2"/>
    <x v="4"/>
    <n v="56"/>
    <x v="124"/>
  </r>
  <r>
    <x v="125"/>
    <x v="4"/>
    <x v="4"/>
    <x v="0"/>
    <x v="5"/>
    <n v="35"/>
    <x v="125"/>
  </r>
  <r>
    <x v="126"/>
    <x v="4"/>
    <x v="2"/>
    <x v="0"/>
    <x v="3"/>
    <n v="67"/>
    <x v="126"/>
  </r>
  <r>
    <x v="127"/>
    <x v="4"/>
    <x v="1"/>
    <x v="2"/>
    <x v="4"/>
    <n v="84"/>
    <x v="127"/>
  </r>
  <r>
    <x v="128"/>
    <x v="4"/>
    <x v="0"/>
    <x v="2"/>
    <x v="2"/>
    <n v="26"/>
    <x v="128"/>
  </r>
  <r>
    <x v="129"/>
    <x v="4"/>
    <x v="2"/>
    <x v="2"/>
    <x v="2"/>
    <n v="65"/>
    <x v="66"/>
  </r>
  <r>
    <x v="130"/>
    <x v="4"/>
    <x v="5"/>
    <x v="1"/>
    <x v="3"/>
    <n v="85"/>
    <x v="129"/>
  </r>
  <r>
    <x v="131"/>
    <x v="4"/>
    <x v="1"/>
    <x v="2"/>
    <x v="1"/>
    <n v="113"/>
    <x v="130"/>
  </r>
  <r>
    <x v="132"/>
    <x v="4"/>
    <x v="4"/>
    <x v="0"/>
    <x v="4"/>
    <n v="101"/>
    <x v="131"/>
  </r>
  <r>
    <x v="133"/>
    <x v="4"/>
    <x v="1"/>
    <x v="2"/>
    <x v="0"/>
    <n v="105"/>
    <x v="132"/>
  </r>
  <r>
    <x v="134"/>
    <x v="4"/>
    <x v="2"/>
    <x v="0"/>
    <x v="1"/>
    <n v="61"/>
    <x v="133"/>
  </r>
  <r>
    <x v="135"/>
    <x v="4"/>
    <x v="3"/>
    <x v="0"/>
    <x v="3"/>
    <n v="28"/>
    <x v="134"/>
  </r>
  <r>
    <x v="136"/>
    <x v="4"/>
    <x v="4"/>
    <x v="2"/>
    <x v="4"/>
    <n v="116"/>
    <x v="135"/>
  </r>
  <r>
    <x v="137"/>
    <x v="4"/>
    <x v="0"/>
    <x v="1"/>
    <x v="4"/>
    <n v="52"/>
    <x v="136"/>
  </r>
  <r>
    <x v="138"/>
    <x v="4"/>
    <x v="3"/>
    <x v="2"/>
    <x v="5"/>
    <n v="49"/>
    <x v="137"/>
  </r>
  <r>
    <x v="139"/>
    <x v="4"/>
    <x v="2"/>
    <x v="1"/>
    <x v="1"/>
    <n v="67"/>
    <x v="138"/>
  </r>
  <r>
    <x v="140"/>
    <x v="4"/>
    <x v="5"/>
    <x v="1"/>
    <x v="4"/>
    <n v="61"/>
    <x v="139"/>
  </r>
  <r>
    <x v="141"/>
    <x v="4"/>
    <x v="5"/>
    <x v="1"/>
    <x v="1"/>
    <n v="29"/>
    <x v="140"/>
  </r>
  <r>
    <x v="142"/>
    <x v="4"/>
    <x v="0"/>
    <x v="3"/>
    <x v="1"/>
    <n v="51"/>
    <x v="141"/>
  </r>
  <r>
    <x v="143"/>
    <x v="4"/>
    <x v="0"/>
    <x v="1"/>
    <x v="4"/>
    <n v="66"/>
    <x v="142"/>
  </r>
  <r>
    <x v="144"/>
    <x v="4"/>
    <x v="0"/>
    <x v="2"/>
    <x v="2"/>
    <n v="118"/>
    <x v="143"/>
  </r>
  <r>
    <x v="145"/>
    <x v="4"/>
    <x v="2"/>
    <x v="1"/>
    <x v="0"/>
    <n v="78"/>
    <x v="144"/>
  </r>
  <r>
    <x v="146"/>
    <x v="4"/>
    <x v="3"/>
    <x v="1"/>
    <x v="0"/>
    <n v="109"/>
    <x v="145"/>
  </r>
  <r>
    <x v="147"/>
    <x v="4"/>
    <x v="4"/>
    <x v="3"/>
    <x v="4"/>
    <n v="34"/>
    <x v="146"/>
  </r>
  <r>
    <x v="148"/>
    <x v="4"/>
    <x v="3"/>
    <x v="3"/>
    <x v="5"/>
    <n v="50"/>
    <x v="147"/>
  </r>
  <r>
    <x v="149"/>
    <x v="4"/>
    <x v="3"/>
    <x v="0"/>
    <x v="3"/>
    <n v="119"/>
    <x v="4"/>
  </r>
  <r>
    <x v="150"/>
    <x v="5"/>
    <x v="0"/>
    <x v="3"/>
    <x v="1"/>
    <n v="32"/>
    <x v="148"/>
  </r>
  <r>
    <x v="151"/>
    <x v="5"/>
    <x v="5"/>
    <x v="3"/>
    <x v="0"/>
    <n v="33"/>
    <x v="149"/>
  </r>
  <r>
    <x v="152"/>
    <x v="5"/>
    <x v="2"/>
    <x v="0"/>
    <x v="1"/>
    <n v="67"/>
    <x v="150"/>
  </r>
  <r>
    <x v="153"/>
    <x v="5"/>
    <x v="4"/>
    <x v="3"/>
    <x v="1"/>
    <n v="20"/>
    <x v="143"/>
  </r>
  <r>
    <x v="154"/>
    <x v="5"/>
    <x v="4"/>
    <x v="0"/>
    <x v="2"/>
    <n v="65"/>
    <x v="151"/>
  </r>
  <r>
    <x v="155"/>
    <x v="5"/>
    <x v="5"/>
    <x v="2"/>
    <x v="2"/>
    <n v="22"/>
    <x v="152"/>
  </r>
  <r>
    <x v="156"/>
    <x v="5"/>
    <x v="3"/>
    <x v="1"/>
    <x v="0"/>
    <n v="84"/>
    <x v="153"/>
  </r>
  <r>
    <x v="157"/>
    <x v="5"/>
    <x v="2"/>
    <x v="2"/>
    <x v="3"/>
    <n v="69"/>
    <x v="154"/>
  </r>
  <r>
    <x v="158"/>
    <x v="5"/>
    <x v="5"/>
    <x v="2"/>
    <x v="3"/>
    <n v="71"/>
    <x v="155"/>
  </r>
  <r>
    <x v="159"/>
    <x v="5"/>
    <x v="2"/>
    <x v="1"/>
    <x v="5"/>
    <n v="65"/>
    <x v="156"/>
  </r>
  <r>
    <x v="160"/>
    <x v="5"/>
    <x v="5"/>
    <x v="0"/>
    <x v="5"/>
    <n v="93"/>
    <x v="157"/>
  </r>
  <r>
    <x v="161"/>
    <x v="5"/>
    <x v="1"/>
    <x v="3"/>
    <x v="4"/>
    <n v="37"/>
    <x v="158"/>
  </r>
  <r>
    <x v="162"/>
    <x v="5"/>
    <x v="0"/>
    <x v="2"/>
    <x v="5"/>
    <n v="111"/>
    <x v="159"/>
  </r>
  <r>
    <x v="163"/>
    <x v="5"/>
    <x v="5"/>
    <x v="1"/>
    <x v="0"/>
    <n v="54"/>
    <x v="160"/>
  </r>
  <r>
    <x v="164"/>
    <x v="5"/>
    <x v="2"/>
    <x v="0"/>
    <x v="0"/>
    <n v="91"/>
    <x v="161"/>
  </r>
  <r>
    <x v="165"/>
    <x v="5"/>
    <x v="0"/>
    <x v="1"/>
    <x v="4"/>
    <n v="43"/>
    <x v="162"/>
  </r>
  <r>
    <x v="166"/>
    <x v="5"/>
    <x v="5"/>
    <x v="2"/>
    <x v="0"/>
    <n v="119"/>
    <x v="163"/>
  </r>
  <r>
    <x v="167"/>
    <x v="5"/>
    <x v="0"/>
    <x v="0"/>
    <x v="0"/>
    <n v="102"/>
    <x v="164"/>
  </r>
  <r>
    <x v="168"/>
    <x v="5"/>
    <x v="0"/>
    <x v="1"/>
    <x v="2"/>
    <n v="24"/>
    <x v="165"/>
  </r>
  <r>
    <x v="169"/>
    <x v="5"/>
    <x v="2"/>
    <x v="3"/>
    <x v="1"/>
    <n v="62"/>
    <x v="166"/>
  </r>
  <r>
    <x v="170"/>
    <x v="5"/>
    <x v="0"/>
    <x v="3"/>
    <x v="3"/>
    <n v="52"/>
    <x v="167"/>
  </r>
  <r>
    <x v="171"/>
    <x v="5"/>
    <x v="1"/>
    <x v="1"/>
    <x v="1"/>
    <n v="87"/>
    <x v="168"/>
  </r>
  <r>
    <x v="172"/>
    <x v="5"/>
    <x v="1"/>
    <x v="1"/>
    <x v="3"/>
    <n v="68"/>
    <x v="169"/>
  </r>
  <r>
    <x v="173"/>
    <x v="5"/>
    <x v="0"/>
    <x v="1"/>
    <x v="2"/>
    <n v="110"/>
    <x v="163"/>
  </r>
  <r>
    <x v="174"/>
    <x v="5"/>
    <x v="1"/>
    <x v="2"/>
    <x v="4"/>
    <n v="114"/>
    <x v="170"/>
  </r>
  <r>
    <x v="175"/>
    <x v="5"/>
    <x v="0"/>
    <x v="2"/>
    <x v="3"/>
    <n v="33"/>
    <x v="171"/>
  </r>
  <r>
    <x v="176"/>
    <x v="5"/>
    <x v="2"/>
    <x v="0"/>
    <x v="4"/>
    <n v="94"/>
    <x v="172"/>
  </r>
  <r>
    <x v="177"/>
    <x v="5"/>
    <x v="3"/>
    <x v="2"/>
    <x v="1"/>
    <n v="70"/>
    <x v="173"/>
  </r>
  <r>
    <x v="178"/>
    <x v="5"/>
    <x v="1"/>
    <x v="0"/>
    <x v="2"/>
    <n v="74"/>
    <x v="174"/>
  </r>
  <r>
    <x v="179"/>
    <x v="5"/>
    <x v="3"/>
    <x v="3"/>
    <x v="0"/>
    <n v="22"/>
    <x v="175"/>
  </r>
  <r>
    <x v="180"/>
    <x v="5"/>
    <x v="3"/>
    <x v="3"/>
    <x v="2"/>
    <n v="72"/>
    <x v="1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0832B1-7C15-4402-936F-2FB9C31B7F8F}"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2:B23" firstHeaderRow="1" firstDataRow="1" firstDataCol="0"/>
  <pivotFields count="9">
    <pivotField numFmtId="164" showAll="0">
      <items count="182">
        <item x="62"/>
        <item x="63"/>
        <item x="87"/>
        <item x="150"/>
        <item x="0"/>
        <item x="151"/>
        <item x="118"/>
        <item x="37"/>
        <item x="88"/>
        <item x="119"/>
        <item x="1"/>
        <item x="152"/>
        <item x="120"/>
        <item x="64"/>
        <item x="2"/>
        <item x="153"/>
        <item x="89"/>
        <item x="65"/>
        <item x="121"/>
        <item x="154"/>
        <item x="66"/>
        <item x="155"/>
        <item x="156"/>
        <item x="38"/>
        <item x="3"/>
        <item x="4"/>
        <item x="5"/>
        <item x="90"/>
        <item x="91"/>
        <item x="157"/>
        <item x="122"/>
        <item x="92"/>
        <item x="39"/>
        <item x="6"/>
        <item x="7"/>
        <item x="158"/>
        <item x="159"/>
        <item x="8"/>
        <item x="40"/>
        <item x="9"/>
        <item x="10"/>
        <item x="67"/>
        <item x="93"/>
        <item x="41"/>
        <item x="123"/>
        <item x="68"/>
        <item x="94"/>
        <item x="160"/>
        <item x="11"/>
        <item x="124"/>
        <item x="125"/>
        <item x="161"/>
        <item x="95"/>
        <item x="69"/>
        <item x="42"/>
        <item x="12"/>
        <item x="70"/>
        <item x="162"/>
        <item x="96"/>
        <item x="71"/>
        <item x="13"/>
        <item x="126"/>
        <item x="72"/>
        <item x="14"/>
        <item x="97"/>
        <item x="163"/>
        <item x="73"/>
        <item x="43"/>
        <item x="98"/>
        <item x="164"/>
        <item x="99"/>
        <item x="100"/>
        <item x="165"/>
        <item x="74"/>
        <item x="44"/>
        <item x="45"/>
        <item x="15"/>
        <item x="16"/>
        <item x="166"/>
        <item x="17"/>
        <item x="101"/>
        <item x="46"/>
        <item x="127"/>
        <item x="102"/>
        <item x="128"/>
        <item x="18"/>
        <item x="129"/>
        <item x="47"/>
        <item x="167"/>
        <item x="130"/>
        <item x="131"/>
        <item x="75"/>
        <item x="103"/>
        <item x="19"/>
        <item x="132"/>
        <item x="48"/>
        <item x="104"/>
        <item x="20"/>
        <item x="168"/>
        <item x="133"/>
        <item x="49"/>
        <item x="21"/>
        <item x="169"/>
        <item x="50"/>
        <item x="76"/>
        <item x="22"/>
        <item x="23"/>
        <item x="105"/>
        <item x="134"/>
        <item x="51"/>
        <item x="135"/>
        <item x="136"/>
        <item x="52"/>
        <item x="170"/>
        <item x="53"/>
        <item x="171"/>
        <item x="77"/>
        <item x="78"/>
        <item x="106"/>
        <item x="137"/>
        <item x="24"/>
        <item x="25"/>
        <item x="138"/>
        <item x="139"/>
        <item x="172"/>
        <item x="173"/>
        <item x="26"/>
        <item x="140"/>
        <item x="141"/>
        <item x="79"/>
        <item x="174"/>
        <item x="107"/>
        <item x="27"/>
        <item x="54"/>
        <item x="142"/>
        <item x="108"/>
        <item x="28"/>
        <item x="55"/>
        <item x="143"/>
        <item x="109"/>
        <item x="110"/>
        <item x="111"/>
        <item x="144"/>
        <item x="80"/>
        <item x="112"/>
        <item x="145"/>
        <item x="29"/>
        <item x="30"/>
        <item x="81"/>
        <item x="175"/>
        <item x="56"/>
        <item x="82"/>
        <item x="146"/>
        <item x="57"/>
        <item x="113"/>
        <item x="58"/>
        <item x="83"/>
        <item x="114"/>
        <item x="115"/>
        <item x="59"/>
        <item x="176"/>
        <item x="31"/>
        <item x="147"/>
        <item x="60"/>
        <item x="84"/>
        <item x="177"/>
        <item x="148"/>
        <item x="178"/>
        <item x="179"/>
        <item x="32"/>
        <item x="85"/>
        <item x="61"/>
        <item x="86"/>
        <item x="116"/>
        <item x="33"/>
        <item x="34"/>
        <item x="35"/>
        <item x="180"/>
        <item x="149"/>
        <item x="117"/>
        <item x="36"/>
        <item t="default"/>
      </items>
    </pivotField>
    <pivotField dataField="1" showAll="0">
      <items count="7">
        <item x="0"/>
        <item x="1"/>
        <item x="2"/>
        <item x="3"/>
        <item x="4"/>
        <item x="5"/>
        <item t="default"/>
      </items>
    </pivotField>
    <pivotField showAll="0"/>
    <pivotField showAll="0">
      <items count="5">
        <item x="1"/>
        <item h="1" x="2"/>
        <item h="1" x="0"/>
        <item h="1" x="3"/>
        <item t="default"/>
      </items>
    </pivotField>
    <pivotField showAll="0">
      <items count="7">
        <item x="1"/>
        <item x="3"/>
        <item x="4"/>
        <item x="2"/>
        <item x="0"/>
        <item x="5"/>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Course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E2C599-A348-45E0-9BD2-BE216493277C}"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8:B19" firstHeaderRow="1" firstDataRow="1" firstDataCol="0"/>
  <pivotFields count="9">
    <pivotField numFmtId="164" showAll="0">
      <items count="182">
        <item x="62"/>
        <item x="63"/>
        <item x="87"/>
        <item x="150"/>
        <item x="0"/>
        <item x="151"/>
        <item x="118"/>
        <item x="37"/>
        <item x="88"/>
        <item x="119"/>
        <item x="1"/>
        <item x="152"/>
        <item x="120"/>
        <item x="64"/>
        <item x="2"/>
        <item x="153"/>
        <item x="89"/>
        <item x="65"/>
        <item x="121"/>
        <item x="154"/>
        <item x="66"/>
        <item x="155"/>
        <item x="156"/>
        <item x="38"/>
        <item x="3"/>
        <item x="4"/>
        <item x="5"/>
        <item x="90"/>
        <item x="91"/>
        <item x="157"/>
        <item x="122"/>
        <item x="92"/>
        <item x="39"/>
        <item x="6"/>
        <item x="7"/>
        <item x="158"/>
        <item x="159"/>
        <item x="8"/>
        <item x="40"/>
        <item x="9"/>
        <item x="10"/>
        <item x="67"/>
        <item x="93"/>
        <item x="41"/>
        <item x="123"/>
        <item x="68"/>
        <item x="94"/>
        <item x="160"/>
        <item x="11"/>
        <item x="124"/>
        <item x="125"/>
        <item x="161"/>
        <item x="95"/>
        <item x="69"/>
        <item x="42"/>
        <item x="12"/>
        <item x="70"/>
        <item x="162"/>
        <item x="96"/>
        <item x="71"/>
        <item x="13"/>
        <item x="126"/>
        <item x="72"/>
        <item x="14"/>
        <item x="97"/>
        <item x="163"/>
        <item x="73"/>
        <item x="43"/>
        <item x="98"/>
        <item x="164"/>
        <item x="99"/>
        <item x="100"/>
        <item x="165"/>
        <item x="74"/>
        <item x="44"/>
        <item x="45"/>
        <item x="15"/>
        <item x="16"/>
        <item x="166"/>
        <item x="17"/>
        <item x="101"/>
        <item x="46"/>
        <item x="127"/>
        <item x="102"/>
        <item x="128"/>
        <item x="18"/>
        <item x="129"/>
        <item x="47"/>
        <item x="167"/>
        <item x="130"/>
        <item x="131"/>
        <item x="75"/>
        <item x="103"/>
        <item x="19"/>
        <item x="132"/>
        <item x="48"/>
        <item x="104"/>
        <item x="20"/>
        <item x="168"/>
        <item x="133"/>
        <item x="49"/>
        <item x="21"/>
        <item x="169"/>
        <item x="50"/>
        <item x="76"/>
        <item x="22"/>
        <item x="23"/>
        <item x="105"/>
        <item x="134"/>
        <item x="51"/>
        <item x="135"/>
        <item x="136"/>
        <item x="52"/>
        <item x="170"/>
        <item x="53"/>
        <item x="171"/>
        <item x="77"/>
        <item x="78"/>
        <item x="106"/>
        <item x="137"/>
        <item x="24"/>
        <item x="25"/>
        <item x="138"/>
        <item x="139"/>
        <item x="172"/>
        <item x="173"/>
        <item x="26"/>
        <item x="140"/>
        <item x="141"/>
        <item x="79"/>
        <item x="174"/>
        <item x="107"/>
        <item x="27"/>
        <item x="54"/>
        <item x="142"/>
        <item x="108"/>
        <item x="28"/>
        <item x="55"/>
        <item x="143"/>
        <item x="109"/>
        <item x="110"/>
        <item x="111"/>
        <item x="144"/>
        <item x="80"/>
        <item x="112"/>
        <item x="145"/>
        <item x="29"/>
        <item x="30"/>
        <item x="81"/>
        <item x="175"/>
        <item x="56"/>
        <item x="82"/>
        <item x="146"/>
        <item x="57"/>
        <item x="113"/>
        <item x="58"/>
        <item x="83"/>
        <item x="114"/>
        <item x="115"/>
        <item x="59"/>
        <item x="176"/>
        <item x="31"/>
        <item x="147"/>
        <item x="60"/>
        <item x="84"/>
        <item x="177"/>
        <item x="148"/>
        <item x="178"/>
        <item x="179"/>
        <item x="32"/>
        <item x="85"/>
        <item x="61"/>
        <item x="86"/>
        <item x="116"/>
        <item x="33"/>
        <item x="34"/>
        <item x="35"/>
        <item x="180"/>
        <item x="149"/>
        <item x="117"/>
        <item x="36"/>
        <item t="default"/>
      </items>
    </pivotField>
    <pivotField showAll="0">
      <items count="7">
        <item x="0"/>
        <item x="1"/>
        <item x="2"/>
        <item x="3"/>
        <item x="4"/>
        <item x="5"/>
        <item t="default"/>
      </items>
    </pivotField>
    <pivotField showAll="0"/>
    <pivotField showAll="0">
      <items count="5">
        <item x="1"/>
        <item h="1" x="2"/>
        <item h="1" x="0"/>
        <item h="1" x="3"/>
        <item t="default"/>
      </items>
    </pivotField>
    <pivotField showAll="0">
      <items count="7">
        <item x="1"/>
        <item x="3"/>
        <item x="4"/>
        <item x="2"/>
        <item x="0"/>
        <item x="5"/>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Enrollment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DE1ED9-9C7B-49CC-AB67-DF044EE18890}"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4:B15" firstHeaderRow="1" firstDataRow="1" firstDataCol="0"/>
  <pivotFields count="9">
    <pivotField numFmtId="164" showAll="0">
      <items count="182">
        <item x="62"/>
        <item x="63"/>
        <item x="87"/>
        <item x="150"/>
        <item x="0"/>
        <item x="151"/>
        <item x="118"/>
        <item x="37"/>
        <item x="88"/>
        <item x="119"/>
        <item x="1"/>
        <item x="152"/>
        <item x="120"/>
        <item x="64"/>
        <item x="2"/>
        <item x="153"/>
        <item x="89"/>
        <item x="65"/>
        <item x="121"/>
        <item x="154"/>
        <item x="66"/>
        <item x="155"/>
        <item x="156"/>
        <item x="38"/>
        <item x="3"/>
        <item x="4"/>
        <item x="5"/>
        <item x="90"/>
        <item x="91"/>
        <item x="157"/>
        <item x="122"/>
        <item x="92"/>
        <item x="39"/>
        <item x="6"/>
        <item x="7"/>
        <item x="158"/>
        <item x="159"/>
        <item x="8"/>
        <item x="40"/>
        <item x="9"/>
        <item x="10"/>
        <item x="67"/>
        <item x="93"/>
        <item x="41"/>
        <item x="123"/>
        <item x="68"/>
        <item x="94"/>
        <item x="160"/>
        <item x="11"/>
        <item x="124"/>
        <item x="125"/>
        <item x="161"/>
        <item x="95"/>
        <item x="69"/>
        <item x="42"/>
        <item x="12"/>
        <item x="70"/>
        <item x="162"/>
        <item x="96"/>
        <item x="71"/>
        <item x="13"/>
        <item x="126"/>
        <item x="72"/>
        <item x="14"/>
        <item x="97"/>
        <item x="163"/>
        <item x="73"/>
        <item x="43"/>
        <item x="98"/>
        <item x="164"/>
        <item x="99"/>
        <item x="100"/>
        <item x="165"/>
        <item x="74"/>
        <item x="44"/>
        <item x="45"/>
        <item x="15"/>
        <item x="16"/>
        <item x="166"/>
        <item x="17"/>
        <item x="101"/>
        <item x="46"/>
        <item x="127"/>
        <item x="102"/>
        <item x="128"/>
        <item x="18"/>
        <item x="129"/>
        <item x="47"/>
        <item x="167"/>
        <item x="130"/>
        <item x="131"/>
        <item x="75"/>
        <item x="103"/>
        <item x="19"/>
        <item x="132"/>
        <item x="48"/>
        <item x="104"/>
        <item x="20"/>
        <item x="168"/>
        <item x="133"/>
        <item x="49"/>
        <item x="21"/>
        <item x="169"/>
        <item x="50"/>
        <item x="76"/>
        <item x="22"/>
        <item x="23"/>
        <item x="105"/>
        <item x="134"/>
        <item x="51"/>
        <item x="135"/>
        <item x="136"/>
        <item x="52"/>
        <item x="170"/>
        <item x="53"/>
        <item x="171"/>
        <item x="77"/>
        <item x="78"/>
        <item x="106"/>
        <item x="137"/>
        <item x="24"/>
        <item x="25"/>
        <item x="138"/>
        <item x="139"/>
        <item x="172"/>
        <item x="173"/>
        <item x="26"/>
        <item x="140"/>
        <item x="141"/>
        <item x="79"/>
        <item x="174"/>
        <item x="107"/>
        <item x="27"/>
        <item x="54"/>
        <item x="142"/>
        <item x="108"/>
        <item x="28"/>
        <item x="55"/>
        <item x="143"/>
        <item x="109"/>
        <item x="110"/>
        <item x="111"/>
        <item x="144"/>
        <item x="80"/>
        <item x="112"/>
        <item x="145"/>
        <item x="29"/>
        <item x="30"/>
        <item x="81"/>
        <item x="175"/>
        <item x="56"/>
        <item x="82"/>
        <item x="146"/>
        <item x="57"/>
        <item x="113"/>
        <item x="58"/>
        <item x="83"/>
        <item x="114"/>
        <item x="115"/>
        <item x="59"/>
        <item x="176"/>
        <item x="31"/>
        <item x="147"/>
        <item x="60"/>
        <item x="84"/>
        <item x="177"/>
        <item x="148"/>
        <item x="178"/>
        <item x="179"/>
        <item x="32"/>
        <item x="85"/>
        <item x="61"/>
        <item x="86"/>
        <item x="116"/>
        <item x="33"/>
        <item x="34"/>
        <item x="35"/>
        <item x="180"/>
        <item x="149"/>
        <item x="117"/>
        <item x="36"/>
        <item t="default"/>
      </items>
    </pivotField>
    <pivotField showAll="0">
      <items count="7">
        <item x="0"/>
        <item x="1"/>
        <item x="2"/>
        <item x="3"/>
        <item x="4"/>
        <item x="5"/>
        <item t="default"/>
      </items>
    </pivotField>
    <pivotField showAll="0"/>
    <pivotField showAll="0">
      <items count="5">
        <item x="1"/>
        <item h="1" x="2"/>
        <item h="1" x="0"/>
        <item h="1" x="3"/>
        <item t="default"/>
      </items>
    </pivotField>
    <pivotField showAll="0">
      <items count="7">
        <item x="1"/>
        <item x="3"/>
        <item x="4"/>
        <item x="2"/>
        <item x="0"/>
        <item x="5"/>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8E6DEE-302D-42CF-AF05-FBD5B326FE4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5" firstHeaderRow="1" firstDataRow="1" firstDataCol="1"/>
  <pivotFields count="9">
    <pivotField numFmtId="164" showAll="0">
      <items count="182">
        <item x="62"/>
        <item x="63"/>
        <item x="87"/>
        <item x="150"/>
        <item x="0"/>
        <item x="151"/>
        <item x="118"/>
        <item x="37"/>
        <item x="88"/>
        <item x="119"/>
        <item x="1"/>
        <item x="152"/>
        <item x="120"/>
        <item x="64"/>
        <item x="2"/>
        <item x="153"/>
        <item x="89"/>
        <item x="65"/>
        <item x="121"/>
        <item x="154"/>
        <item x="66"/>
        <item x="155"/>
        <item x="156"/>
        <item x="38"/>
        <item x="3"/>
        <item x="4"/>
        <item x="5"/>
        <item x="90"/>
        <item x="91"/>
        <item x="157"/>
        <item x="122"/>
        <item x="92"/>
        <item x="39"/>
        <item x="6"/>
        <item x="7"/>
        <item x="158"/>
        <item x="159"/>
        <item x="8"/>
        <item x="40"/>
        <item x="9"/>
        <item x="10"/>
        <item x="67"/>
        <item x="93"/>
        <item x="41"/>
        <item x="123"/>
        <item x="68"/>
        <item x="94"/>
        <item x="160"/>
        <item x="11"/>
        <item x="124"/>
        <item x="125"/>
        <item x="161"/>
        <item x="95"/>
        <item x="69"/>
        <item x="42"/>
        <item x="12"/>
        <item x="70"/>
        <item x="162"/>
        <item x="96"/>
        <item x="71"/>
        <item x="13"/>
        <item x="126"/>
        <item x="72"/>
        <item x="14"/>
        <item x="97"/>
        <item x="163"/>
        <item x="73"/>
        <item x="43"/>
        <item x="98"/>
        <item x="164"/>
        <item x="99"/>
        <item x="100"/>
        <item x="165"/>
        <item x="74"/>
        <item x="44"/>
        <item x="45"/>
        <item x="15"/>
        <item x="16"/>
        <item x="166"/>
        <item x="17"/>
        <item x="101"/>
        <item x="46"/>
        <item x="127"/>
        <item x="102"/>
        <item x="128"/>
        <item x="18"/>
        <item x="129"/>
        <item x="47"/>
        <item x="167"/>
        <item x="130"/>
        <item x="131"/>
        <item x="75"/>
        <item x="103"/>
        <item x="19"/>
        <item x="132"/>
        <item x="48"/>
        <item x="104"/>
        <item x="20"/>
        <item x="168"/>
        <item x="133"/>
        <item x="49"/>
        <item x="21"/>
        <item x="169"/>
        <item x="50"/>
        <item x="76"/>
        <item x="22"/>
        <item x="23"/>
        <item x="105"/>
        <item x="134"/>
        <item x="51"/>
        <item x="135"/>
        <item x="136"/>
        <item x="52"/>
        <item x="170"/>
        <item x="53"/>
        <item x="171"/>
        <item x="77"/>
        <item x="78"/>
        <item x="106"/>
        <item x="137"/>
        <item x="24"/>
        <item x="25"/>
        <item x="138"/>
        <item x="139"/>
        <item x="172"/>
        <item x="173"/>
        <item x="26"/>
        <item x="140"/>
        <item x="141"/>
        <item x="79"/>
        <item x="174"/>
        <item x="107"/>
        <item x="27"/>
        <item x="54"/>
        <item x="142"/>
        <item x="108"/>
        <item x="28"/>
        <item x="55"/>
        <item x="143"/>
        <item x="109"/>
        <item x="110"/>
        <item x="111"/>
        <item x="144"/>
        <item x="80"/>
        <item x="112"/>
        <item x="145"/>
        <item x="29"/>
        <item x="30"/>
        <item x="81"/>
        <item x="175"/>
        <item x="56"/>
        <item x="82"/>
        <item x="146"/>
        <item x="57"/>
        <item x="113"/>
        <item x="58"/>
        <item x="83"/>
        <item x="114"/>
        <item x="115"/>
        <item x="59"/>
        <item x="176"/>
        <item x="31"/>
        <item x="147"/>
        <item x="60"/>
        <item x="84"/>
        <item x="177"/>
        <item x="148"/>
        <item x="178"/>
        <item x="179"/>
        <item x="32"/>
        <item x="85"/>
        <item x="61"/>
        <item x="86"/>
        <item x="116"/>
        <item x="33"/>
        <item x="34"/>
        <item x="35"/>
        <item x="180"/>
        <item x="149"/>
        <item x="117"/>
        <item x="36"/>
        <item t="default"/>
      </items>
    </pivotField>
    <pivotField showAll="0">
      <items count="7">
        <item x="0"/>
        <item x="1"/>
        <item x="2"/>
        <item x="3"/>
        <item x="4"/>
        <item x="5"/>
        <item t="default"/>
      </items>
    </pivotField>
    <pivotField showAll="0"/>
    <pivotField axis="axisRow" showAll="0">
      <items count="5">
        <item x="1"/>
        <item h="1" x="2"/>
        <item h="1" x="0"/>
        <item h="1" x="3"/>
        <item t="default"/>
      </items>
    </pivotField>
    <pivotField showAll="0">
      <items count="7">
        <item x="1"/>
        <item x="3"/>
        <item x="4"/>
        <item x="2"/>
        <item x="0"/>
        <item x="5"/>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i>
    <i t="grand">
      <x/>
    </i>
  </rowItems>
  <colItems count="1">
    <i/>
  </colItems>
  <dataFields count="1">
    <dataField name="Sum of Revenue USD" fld="6" baseField="3" baseItem="0"/>
  </dataFields>
  <formats count="1">
    <format dxfId="57">
      <pivotArea collapsedLevelsAreSubtotals="1" fieldPosition="0">
        <references count="1">
          <reference field="3" count="0"/>
        </references>
      </pivotArea>
    </format>
  </format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EF2827-AB17-4A9A-9EB9-66E29EF56A80}" name="PivotTable2" cacheId="0"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chartFormat="10">
  <location ref="A5:B12" firstHeaderRow="1" firstDataRow="1" firstDataCol="1"/>
  <pivotFields count="9">
    <pivotField numFmtId="164" showAll="0">
      <items count="182">
        <item x="62"/>
        <item x="63"/>
        <item x="87"/>
        <item x="150"/>
        <item x="0"/>
        <item x="151"/>
        <item x="118"/>
        <item x="37"/>
        <item x="88"/>
        <item x="119"/>
        <item x="1"/>
        <item x="152"/>
        <item x="120"/>
        <item x="64"/>
        <item x="2"/>
        <item x="153"/>
        <item x="89"/>
        <item x="65"/>
        <item x="121"/>
        <item x="154"/>
        <item x="66"/>
        <item x="155"/>
        <item x="156"/>
        <item x="38"/>
        <item x="3"/>
        <item x="4"/>
        <item x="5"/>
        <item x="90"/>
        <item x="91"/>
        <item x="157"/>
        <item x="122"/>
        <item x="92"/>
        <item x="39"/>
        <item x="6"/>
        <item x="7"/>
        <item x="158"/>
        <item x="159"/>
        <item x="8"/>
        <item x="40"/>
        <item x="9"/>
        <item x="10"/>
        <item x="67"/>
        <item x="93"/>
        <item x="41"/>
        <item x="123"/>
        <item x="68"/>
        <item x="94"/>
        <item x="160"/>
        <item x="11"/>
        <item x="124"/>
        <item x="125"/>
        <item x="161"/>
        <item x="95"/>
        <item x="69"/>
        <item x="42"/>
        <item x="12"/>
        <item x="70"/>
        <item x="162"/>
        <item x="96"/>
        <item x="71"/>
        <item x="13"/>
        <item x="126"/>
        <item x="72"/>
        <item x="14"/>
        <item x="97"/>
        <item x="163"/>
        <item x="73"/>
        <item x="43"/>
        <item x="98"/>
        <item x="164"/>
        <item x="99"/>
        <item x="100"/>
        <item x="165"/>
        <item x="74"/>
        <item x="44"/>
        <item x="45"/>
        <item x="15"/>
        <item x="16"/>
        <item x="166"/>
        <item x="17"/>
        <item x="101"/>
        <item x="46"/>
        <item x="127"/>
        <item x="102"/>
        <item x="128"/>
        <item x="18"/>
        <item x="129"/>
        <item x="47"/>
        <item x="167"/>
        <item x="130"/>
        <item x="131"/>
        <item x="75"/>
        <item x="103"/>
        <item x="19"/>
        <item x="132"/>
        <item x="48"/>
        <item x="104"/>
        <item x="20"/>
        <item x="168"/>
        <item x="133"/>
        <item x="49"/>
        <item x="21"/>
        <item x="169"/>
        <item x="50"/>
        <item x="76"/>
        <item x="22"/>
        <item x="23"/>
        <item x="105"/>
        <item x="134"/>
        <item x="51"/>
        <item x="135"/>
        <item x="136"/>
        <item x="52"/>
        <item x="170"/>
        <item x="53"/>
        <item x="171"/>
        <item x="77"/>
        <item x="78"/>
        <item x="106"/>
        <item x="137"/>
        <item x="24"/>
        <item x="25"/>
        <item x="138"/>
        <item x="139"/>
        <item x="172"/>
        <item x="173"/>
        <item x="26"/>
        <item x="140"/>
        <item x="141"/>
        <item x="79"/>
        <item x="174"/>
        <item x="107"/>
        <item x="27"/>
        <item x="54"/>
        <item x="142"/>
        <item x="108"/>
        <item x="28"/>
        <item x="55"/>
        <item x="143"/>
        <item x="109"/>
        <item x="110"/>
        <item x="111"/>
        <item x="144"/>
        <item x="80"/>
        <item x="112"/>
        <item x="145"/>
        <item x="29"/>
        <item x="30"/>
        <item x="81"/>
        <item x="175"/>
        <item x="56"/>
        <item x="82"/>
        <item x="146"/>
        <item x="57"/>
        <item x="113"/>
        <item x="58"/>
        <item x="83"/>
        <item x="114"/>
        <item x="115"/>
        <item x="59"/>
        <item x="176"/>
        <item x="31"/>
        <item x="147"/>
        <item x="60"/>
        <item x="84"/>
        <item x="177"/>
        <item x="148"/>
        <item x="178"/>
        <item x="179"/>
        <item x="32"/>
        <item x="85"/>
        <item x="61"/>
        <item x="86"/>
        <item x="116"/>
        <item x="33"/>
        <item x="34"/>
        <item x="35"/>
        <item x="180"/>
        <item x="149"/>
        <item x="117"/>
        <item x="36"/>
        <item t="default"/>
      </items>
    </pivotField>
    <pivotField showAll="0">
      <items count="7">
        <item x="0"/>
        <item x="1"/>
        <item x="2"/>
        <item x="3"/>
        <item x="4"/>
        <item x="5"/>
        <item t="default"/>
      </items>
    </pivotField>
    <pivotField showAll="0"/>
    <pivotField showAll="0">
      <items count="5">
        <item x="1"/>
        <item h="1" x="2"/>
        <item h="1" x="0"/>
        <item h="1" x="3"/>
        <item t="default"/>
      </items>
    </pivotField>
    <pivotField axis="axisRow" showAll="0">
      <items count="7">
        <item x="1"/>
        <item x="3"/>
        <item x="4"/>
        <item x="2"/>
        <item x="0"/>
        <item x="5"/>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Sum of Revenue USD" fld="6"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2F6554-C265-405C-84D2-45BBBC2A65BC}"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8:C15" firstHeaderRow="1" firstDataRow="1" firstDataCol="1"/>
  <pivotFields count="9">
    <pivotField numFmtId="164" showAll="0">
      <items count="182">
        <item x="62"/>
        <item x="63"/>
        <item x="87"/>
        <item x="150"/>
        <item x="0"/>
        <item x="151"/>
        <item x="118"/>
        <item x="37"/>
        <item x="88"/>
        <item x="119"/>
        <item x="1"/>
        <item x="152"/>
        <item x="120"/>
        <item x="64"/>
        <item x="2"/>
        <item x="153"/>
        <item x="89"/>
        <item x="65"/>
        <item x="121"/>
        <item x="154"/>
        <item x="66"/>
        <item x="155"/>
        <item x="156"/>
        <item x="38"/>
        <item x="3"/>
        <item x="4"/>
        <item x="5"/>
        <item x="90"/>
        <item x="91"/>
        <item x="157"/>
        <item x="122"/>
        <item x="92"/>
        <item x="39"/>
        <item x="6"/>
        <item x="7"/>
        <item x="158"/>
        <item x="159"/>
        <item x="8"/>
        <item x="40"/>
        <item x="9"/>
        <item x="10"/>
        <item x="67"/>
        <item x="93"/>
        <item x="41"/>
        <item x="123"/>
        <item x="68"/>
        <item x="94"/>
        <item x="160"/>
        <item x="11"/>
        <item x="124"/>
        <item x="125"/>
        <item x="161"/>
        <item x="95"/>
        <item x="69"/>
        <item x="42"/>
        <item x="12"/>
        <item x="70"/>
        <item x="162"/>
        <item x="96"/>
        <item x="71"/>
        <item x="13"/>
        <item x="126"/>
        <item x="72"/>
        <item x="14"/>
        <item x="97"/>
        <item x="163"/>
        <item x="73"/>
        <item x="43"/>
        <item x="98"/>
        <item x="164"/>
        <item x="99"/>
        <item x="100"/>
        <item x="165"/>
        <item x="74"/>
        <item x="44"/>
        <item x="45"/>
        <item x="15"/>
        <item x="16"/>
        <item x="166"/>
        <item x="17"/>
        <item x="101"/>
        <item x="46"/>
        <item x="127"/>
        <item x="102"/>
        <item x="128"/>
        <item x="18"/>
        <item x="129"/>
        <item x="47"/>
        <item x="167"/>
        <item x="130"/>
        <item x="131"/>
        <item x="75"/>
        <item x="103"/>
        <item x="19"/>
        <item x="132"/>
        <item x="48"/>
        <item x="104"/>
        <item x="20"/>
        <item x="168"/>
        <item x="133"/>
        <item x="49"/>
        <item x="21"/>
        <item x="169"/>
        <item x="50"/>
        <item x="76"/>
        <item x="22"/>
        <item x="23"/>
        <item x="105"/>
        <item x="134"/>
        <item x="51"/>
        <item x="135"/>
        <item x="136"/>
        <item x="52"/>
        <item x="170"/>
        <item x="53"/>
        <item x="171"/>
        <item x="77"/>
        <item x="78"/>
        <item x="106"/>
        <item x="137"/>
        <item x="24"/>
        <item x="25"/>
        <item x="138"/>
        <item x="139"/>
        <item x="172"/>
        <item x="173"/>
        <item x="26"/>
        <item x="140"/>
        <item x="141"/>
        <item x="79"/>
        <item x="174"/>
        <item x="107"/>
        <item x="27"/>
        <item x="54"/>
        <item x="142"/>
        <item x="108"/>
        <item x="28"/>
        <item x="55"/>
        <item x="143"/>
        <item x="109"/>
        <item x="110"/>
        <item x="111"/>
        <item x="144"/>
        <item x="80"/>
        <item x="112"/>
        <item x="145"/>
        <item x="29"/>
        <item x="30"/>
        <item x="81"/>
        <item x="175"/>
        <item x="56"/>
        <item x="82"/>
        <item x="146"/>
        <item x="57"/>
        <item x="113"/>
        <item x="58"/>
        <item x="83"/>
        <item x="114"/>
        <item x="115"/>
        <item x="59"/>
        <item x="176"/>
        <item x="31"/>
        <item x="147"/>
        <item x="60"/>
        <item x="84"/>
        <item x="177"/>
        <item x="148"/>
        <item x="178"/>
        <item x="179"/>
        <item x="32"/>
        <item x="85"/>
        <item x="61"/>
        <item x="86"/>
        <item x="116"/>
        <item x="33"/>
        <item x="34"/>
        <item x="35"/>
        <item x="180"/>
        <item x="149"/>
        <item x="117"/>
        <item x="36"/>
        <item t="default"/>
      </items>
    </pivotField>
    <pivotField showAll="0">
      <items count="7">
        <item x="0"/>
        <item x="1"/>
        <item x="2"/>
        <item x="3"/>
        <item x="4"/>
        <item x="5"/>
        <item t="default"/>
      </items>
    </pivotField>
    <pivotField showAll="0"/>
    <pivotField showAll="0">
      <items count="5">
        <item x="1"/>
        <item h="1" x="2"/>
        <item h="1" x="0"/>
        <item h="1" x="3"/>
        <item t="default"/>
      </items>
    </pivotField>
    <pivotField showAll="0">
      <items count="7">
        <item x="1"/>
        <item x="3"/>
        <item x="4"/>
        <item x="2"/>
        <item x="0"/>
        <item x="5"/>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7">
    <i>
      <x v="1"/>
    </i>
    <i>
      <x v="2"/>
    </i>
    <i>
      <x v="3"/>
    </i>
    <i>
      <x v="4"/>
    </i>
    <i>
      <x v="5"/>
    </i>
    <i>
      <x v="6"/>
    </i>
    <i t="grand">
      <x/>
    </i>
  </rowItems>
  <colItems count="1">
    <i/>
  </colItems>
  <dataFields count="1">
    <dataField name="Sum of Revenue USD"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74F2B8-D777-4BB3-A6D3-723D3EEEE27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7:B14" firstHeaderRow="1" firstDataRow="1" firstDataCol="1"/>
  <pivotFields count="9">
    <pivotField numFmtId="164" showAll="0">
      <items count="182">
        <item x="62"/>
        <item x="63"/>
        <item x="87"/>
        <item x="150"/>
        <item x="0"/>
        <item x="151"/>
        <item x="118"/>
        <item x="37"/>
        <item x="88"/>
        <item x="119"/>
        <item x="1"/>
        <item x="152"/>
        <item x="120"/>
        <item x="64"/>
        <item x="2"/>
        <item x="153"/>
        <item x="89"/>
        <item x="65"/>
        <item x="121"/>
        <item x="154"/>
        <item x="66"/>
        <item x="155"/>
        <item x="156"/>
        <item x="38"/>
        <item x="3"/>
        <item x="4"/>
        <item x="5"/>
        <item x="90"/>
        <item x="91"/>
        <item x="157"/>
        <item x="122"/>
        <item x="92"/>
        <item x="39"/>
        <item x="6"/>
        <item x="7"/>
        <item x="158"/>
        <item x="159"/>
        <item x="8"/>
        <item x="40"/>
        <item x="9"/>
        <item x="10"/>
        <item x="67"/>
        <item x="93"/>
        <item x="41"/>
        <item x="123"/>
        <item x="68"/>
        <item x="94"/>
        <item x="160"/>
        <item x="11"/>
        <item x="124"/>
        <item x="125"/>
        <item x="161"/>
        <item x="95"/>
        <item x="69"/>
        <item x="42"/>
        <item x="12"/>
        <item x="70"/>
        <item x="162"/>
        <item x="96"/>
        <item x="71"/>
        <item x="13"/>
        <item x="126"/>
        <item x="72"/>
        <item x="14"/>
        <item x="97"/>
        <item x="163"/>
        <item x="73"/>
        <item x="43"/>
        <item x="98"/>
        <item x="164"/>
        <item x="99"/>
        <item x="100"/>
        <item x="165"/>
        <item x="74"/>
        <item x="44"/>
        <item x="45"/>
        <item x="15"/>
        <item x="16"/>
        <item x="166"/>
        <item x="17"/>
        <item x="101"/>
        <item x="46"/>
        <item x="127"/>
        <item x="102"/>
        <item x="128"/>
        <item x="18"/>
        <item x="129"/>
        <item x="47"/>
        <item x="167"/>
        <item x="130"/>
        <item x="131"/>
        <item x="75"/>
        <item x="103"/>
        <item x="19"/>
        <item x="132"/>
        <item x="48"/>
        <item x="104"/>
        <item x="20"/>
        <item x="168"/>
        <item x="133"/>
        <item x="49"/>
        <item x="21"/>
        <item x="169"/>
        <item x="50"/>
        <item x="76"/>
        <item x="22"/>
        <item x="23"/>
        <item x="105"/>
        <item x="134"/>
        <item x="51"/>
        <item x="135"/>
        <item x="136"/>
        <item x="52"/>
        <item x="170"/>
        <item x="53"/>
        <item x="171"/>
        <item x="77"/>
        <item x="78"/>
        <item x="106"/>
        <item x="137"/>
        <item x="24"/>
        <item x="25"/>
        <item x="138"/>
        <item x="139"/>
        <item x="172"/>
        <item x="173"/>
        <item x="26"/>
        <item x="140"/>
        <item x="141"/>
        <item x="79"/>
        <item x="174"/>
        <item x="107"/>
        <item x="27"/>
        <item x="54"/>
        <item x="142"/>
        <item x="108"/>
        <item x="28"/>
        <item x="55"/>
        <item x="143"/>
        <item x="109"/>
        <item x="110"/>
        <item x="111"/>
        <item x="144"/>
        <item x="80"/>
        <item x="112"/>
        <item x="145"/>
        <item x="29"/>
        <item x="30"/>
        <item x="81"/>
        <item x="175"/>
        <item x="56"/>
        <item x="82"/>
        <item x="146"/>
        <item x="57"/>
        <item x="113"/>
        <item x="58"/>
        <item x="83"/>
        <item x="114"/>
        <item x="115"/>
        <item x="59"/>
        <item x="176"/>
        <item x="31"/>
        <item x="147"/>
        <item x="60"/>
        <item x="84"/>
        <item x="177"/>
        <item x="148"/>
        <item x="178"/>
        <item x="179"/>
        <item x="32"/>
        <item x="85"/>
        <item x="61"/>
        <item x="86"/>
        <item x="116"/>
        <item x="33"/>
        <item x="34"/>
        <item x="35"/>
        <item x="180"/>
        <item x="149"/>
        <item x="117"/>
        <item x="36"/>
        <item t="default"/>
      </items>
    </pivotField>
    <pivotField showAll="0">
      <items count="7">
        <item x="0"/>
        <item x="1"/>
        <item x="2"/>
        <item x="3"/>
        <item x="4"/>
        <item x="5"/>
        <item t="default"/>
      </items>
    </pivotField>
    <pivotField axis="axisRow" showAll="0">
      <items count="7">
        <item x="4"/>
        <item x="5"/>
        <item x="3"/>
        <item x="2"/>
        <item x="0"/>
        <item x="1"/>
        <item t="default"/>
      </items>
    </pivotField>
    <pivotField showAll="0">
      <items count="5">
        <item x="1"/>
        <item h="1" x="2"/>
        <item h="1" x="0"/>
        <item h="1" x="3"/>
        <item t="default"/>
      </items>
    </pivotField>
    <pivotField showAll="0">
      <items count="7">
        <item x="1"/>
        <item x="3"/>
        <item x="4"/>
        <item x="2"/>
        <item x="0"/>
        <item x="5"/>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Items count="1">
    <i/>
  </colItems>
  <dataFields count="1">
    <dataField name="Sum of Revenue USD" fld="6" baseField="0" baseItem="0"/>
  </dataFields>
  <chartFormats count="2">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41F041-9F3A-4BD7-B0AA-9A8EA7923B70}"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4:A25" firstHeaderRow="1" firstDataRow="1" firstDataCol="0"/>
  <pivotFields count="9">
    <pivotField numFmtId="164" showAll="0">
      <items count="182">
        <item x="62"/>
        <item x="63"/>
        <item x="87"/>
        <item x="150"/>
        <item x="0"/>
        <item x="151"/>
        <item x="118"/>
        <item x="37"/>
        <item x="88"/>
        <item x="119"/>
        <item x="1"/>
        <item x="152"/>
        <item x="120"/>
        <item x="64"/>
        <item x="2"/>
        <item x="153"/>
        <item x="89"/>
        <item x="65"/>
        <item x="121"/>
        <item x="154"/>
        <item x="66"/>
        <item x="155"/>
        <item x="156"/>
        <item x="38"/>
        <item x="3"/>
        <item x="4"/>
        <item x="5"/>
        <item x="90"/>
        <item x="91"/>
        <item x="157"/>
        <item x="122"/>
        <item x="92"/>
        <item x="39"/>
        <item x="6"/>
        <item x="7"/>
        <item x="158"/>
        <item x="159"/>
        <item x="8"/>
        <item x="40"/>
        <item x="9"/>
        <item x="10"/>
        <item x="67"/>
        <item x="93"/>
        <item x="41"/>
        <item x="123"/>
        <item x="68"/>
        <item x="94"/>
        <item x="160"/>
        <item x="11"/>
        <item x="124"/>
        <item x="125"/>
        <item x="161"/>
        <item x="95"/>
        <item x="69"/>
        <item x="42"/>
        <item x="12"/>
        <item x="70"/>
        <item x="162"/>
        <item x="96"/>
        <item x="71"/>
        <item x="13"/>
        <item x="126"/>
        <item x="72"/>
        <item x="14"/>
        <item x="97"/>
        <item x="163"/>
        <item x="73"/>
        <item x="43"/>
        <item x="98"/>
        <item x="164"/>
        <item x="99"/>
        <item x="100"/>
        <item x="165"/>
        <item x="74"/>
        <item x="44"/>
        <item x="45"/>
        <item x="15"/>
        <item x="16"/>
        <item x="166"/>
        <item x="17"/>
        <item x="101"/>
        <item x="46"/>
        <item x="127"/>
        <item x="102"/>
        <item x="128"/>
        <item x="18"/>
        <item x="129"/>
        <item x="47"/>
        <item x="167"/>
        <item x="130"/>
        <item x="131"/>
        <item x="75"/>
        <item x="103"/>
        <item x="19"/>
        <item x="132"/>
        <item x="48"/>
        <item x="104"/>
        <item x="20"/>
        <item x="168"/>
        <item x="133"/>
        <item x="49"/>
        <item x="21"/>
        <item x="169"/>
        <item x="50"/>
        <item x="76"/>
        <item x="22"/>
        <item x="23"/>
        <item x="105"/>
        <item x="134"/>
        <item x="51"/>
        <item x="135"/>
        <item x="136"/>
        <item x="52"/>
        <item x="170"/>
        <item x="53"/>
        <item x="171"/>
        <item x="77"/>
        <item x="78"/>
        <item x="106"/>
        <item x="137"/>
        <item x="24"/>
        <item x="25"/>
        <item x="138"/>
        <item x="139"/>
        <item x="172"/>
        <item x="173"/>
        <item x="26"/>
        <item x="140"/>
        <item x="141"/>
        <item x="79"/>
        <item x="174"/>
        <item x="107"/>
        <item x="27"/>
        <item x="54"/>
        <item x="142"/>
        <item x="108"/>
        <item x="28"/>
        <item x="55"/>
        <item x="143"/>
        <item x="109"/>
        <item x="110"/>
        <item x="111"/>
        <item x="144"/>
        <item x="80"/>
        <item x="112"/>
        <item x="145"/>
        <item x="29"/>
        <item x="30"/>
        <item x="81"/>
        <item x="175"/>
        <item x="56"/>
        <item x="82"/>
        <item x="146"/>
        <item x="57"/>
        <item x="113"/>
        <item x="58"/>
        <item x="83"/>
        <item x="114"/>
        <item x="115"/>
        <item x="59"/>
        <item x="176"/>
        <item x="31"/>
        <item x="147"/>
        <item x="60"/>
        <item x="84"/>
        <item x="177"/>
        <item x="148"/>
        <item x="178"/>
        <item x="179"/>
        <item x="32"/>
        <item x="85"/>
        <item x="61"/>
        <item x="86"/>
        <item x="116"/>
        <item x="33"/>
        <item x="34"/>
        <item x="35"/>
        <item x="180"/>
        <item x="149"/>
        <item x="117"/>
        <item x="36"/>
        <item t="default"/>
      </items>
    </pivotField>
    <pivotField showAll="0">
      <items count="7">
        <item x="0"/>
        <item x="1"/>
        <item x="2"/>
        <item x="3"/>
        <item x="4"/>
        <item x="5"/>
        <item t="default"/>
      </items>
    </pivotField>
    <pivotField showAll="0"/>
    <pivotField showAll="0">
      <items count="5">
        <item x="1"/>
        <item h="1" x="2"/>
        <item h="1" x="0"/>
        <item h="1" x="3"/>
        <item t="default"/>
      </items>
    </pivotField>
    <pivotField showAll="0">
      <items count="7">
        <item x="1"/>
        <item x="3"/>
        <item x="4"/>
        <item x="2"/>
        <item x="0"/>
        <item x="5"/>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Enrollmen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4D38CB-D00B-4658-938D-BB51AF24C04F}"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1:A22" firstHeaderRow="1" firstDataRow="1" firstDataCol="0"/>
  <pivotFields count="9">
    <pivotField numFmtId="164" showAll="0">
      <items count="182">
        <item x="62"/>
        <item x="63"/>
        <item x="87"/>
        <item x="150"/>
        <item x="0"/>
        <item x="151"/>
        <item x="118"/>
        <item x="37"/>
        <item x="88"/>
        <item x="119"/>
        <item x="1"/>
        <item x="152"/>
        <item x="120"/>
        <item x="64"/>
        <item x="2"/>
        <item x="153"/>
        <item x="89"/>
        <item x="65"/>
        <item x="121"/>
        <item x="154"/>
        <item x="66"/>
        <item x="155"/>
        <item x="156"/>
        <item x="38"/>
        <item x="3"/>
        <item x="4"/>
        <item x="5"/>
        <item x="90"/>
        <item x="91"/>
        <item x="157"/>
        <item x="122"/>
        <item x="92"/>
        <item x="39"/>
        <item x="6"/>
        <item x="7"/>
        <item x="158"/>
        <item x="159"/>
        <item x="8"/>
        <item x="40"/>
        <item x="9"/>
        <item x="10"/>
        <item x="67"/>
        <item x="93"/>
        <item x="41"/>
        <item x="123"/>
        <item x="68"/>
        <item x="94"/>
        <item x="160"/>
        <item x="11"/>
        <item x="124"/>
        <item x="125"/>
        <item x="161"/>
        <item x="95"/>
        <item x="69"/>
        <item x="42"/>
        <item x="12"/>
        <item x="70"/>
        <item x="162"/>
        <item x="96"/>
        <item x="71"/>
        <item x="13"/>
        <item x="126"/>
        <item x="72"/>
        <item x="14"/>
        <item x="97"/>
        <item x="163"/>
        <item x="73"/>
        <item x="43"/>
        <item x="98"/>
        <item x="164"/>
        <item x="99"/>
        <item x="100"/>
        <item x="165"/>
        <item x="74"/>
        <item x="44"/>
        <item x="45"/>
        <item x="15"/>
        <item x="16"/>
        <item x="166"/>
        <item x="17"/>
        <item x="101"/>
        <item x="46"/>
        <item x="127"/>
        <item x="102"/>
        <item x="128"/>
        <item x="18"/>
        <item x="129"/>
        <item x="47"/>
        <item x="167"/>
        <item x="130"/>
        <item x="131"/>
        <item x="75"/>
        <item x="103"/>
        <item x="19"/>
        <item x="132"/>
        <item x="48"/>
        <item x="104"/>
        <item x="20"/>
        <item x="168"/>
        <item x="133"/>
        <item x="49"/>
        <item x="21"/>
        <item x="169"/>
        <item x="50"/>
        <item x="76"/>
        <item x="22"/>
        <item x="23"/>
        <item x="105"/>
        <item x="134"/>
        <item x="51"/>
        <item x="135"/>
        <item x="136"/>
        <item x="52"/>
        <item x="170"/>
        <item x="53"/>
        <item x="171"/>
        <item x="77"/>
        <item x="78"/>
        <item x="106"/>
        <item x="137"/>
        <item x="24"/>
        <item x="25"/>
        <item x="138"/>
        <item x="139"/>
        <item x="172"/>
        <item x="173"/>
        <item x="26"/>
        <item x="140"/>
        <item x="141"/>
        <item x="79"/>
        <item x="174"/>
        <item x="107"/>
        <item x="27"/>
        <item x="54"/>
        <item x="142"/>
        <item x="108"/>
        <item x="28"/>
        <item x="55"/>
        <item x="143"/>
        <item x="109"/>
        <item x="110"/>
        <item x="111"/>
        <item x="144"/>
        <item x="80"/>
        <item x="112"/>
        <item x="145"/>
        <item x="29"/>
        <item x="30"/>
        <item x="81"/>
        <item x="175"/>
        <item x="56"/>
        <item x="82"/>
        <item x="146"/>
        <item x="57"/>
        <item x="113"/>
        <item x="58"/>
        <item x="83"/>
        <item x="114"/>
        <item x="115"/>
        <item x="59"/>
        <item x="176"/>
        <item x="31"/>
        <item x="147"/>
        <item x="60"/>
        <item x="84"/>
        <item x="177"/>
        <item x="148"/>
        <item x="178"/>
        <item x="179"/>
        <item x="32"/>
        <item x="85"/>
        <item x="61"/>
        <item x="86"/>
        <item x="116"/>
        <item x="33"/>
        <item x="34"/>
        <item x="35"/>
        <item x="180"/>
        <item x="149"/>
        <item x="117"/>
        <item x="36"/>
        <item t="default"/>
      </items>
    </pivotField>
    <pivotField showAll="0">
      <items count="7">
        <item x="0"/>
        <item x="1"/>
        <item x="2"/>
        <item x="3"/>
        <item x="4"/>
        <item x="5"/>
        <item t="default"/>
      </items>
    </pivotField>
    <pivotField showAll="0"/>
    <pivotField showAll="0">
      <items count="5">
        <item x="1"/>
        <item h="1" x="2"/>
        <item h="1" x="0"/>
        <item h="1" x="3"/>
        <item t="default"/>
      </items>
    </pivotField>
    <pivotField showAll="0">
      <items count="7">
        <item x="1"/>
        <item x="3"/>
        <item x="4"/>
        <item x="2"/>
        <item x="0"/>
        <item x="5"/>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Revenue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CB800E-5BB9-4A9A-B601-158DCC6C7B13}"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2:B19" firstHeaderRow="1" firstDataRow="1" firstDataCol="1"/>
  <pivotFields count="9">
    <pivotField numFmtId="164" showAll="0">
      <items count="182">
        <item x="62"/>
        <item x="63"/>
        <item x="87"/>
        <item x="150"/>
        <item x="0"/>
        <item x="151"/>
        <item x="118"/>
        <item x="37"/>
        <item x="88"/>
        <item x="119"/>
        <item x="1"/>
        <item x="152"/>
        <item x="120"/>
        <item x="64"/>
        <item x="2"/>
        <item x="153"/>
        <item x="89"/>
        <item x="65"/>
        <item x="121"/>
        <item x="154"/>
        <item x="66"/>
        <item x="155"/>
        <item x="156"/>
        <item x="38"/>
        <item x="3"/>
        <item x="4"/>
        <item x="5"/>
        <item x="90"/>
        <item x="91"/>
        <item x="157"/>
        <item x="122"/>
        <item x="92"/>
        <item x="39"/>
        <item x="6"/>
        <item x="7"/>
        <item x="158"/>
        <item x="159"/>
        <item x="8"/>
        <item x="40"/>
        <item x="9"/>
        <item x="10"/>
        <item x="67"/>
        <item x="93"/>
        <item x="41"/>
        <item x="123"/>
        <item x="68"/>
        <item x="94"/>
        <item x="160"/>
        <item x="11"/>
        <item x="124"/>
        <item x="125"/>
        <item x="161"/>
        <item x="95"/>
        <item x="69"/>
        <item x="42"/>
        <item x="12"/>
        <item x="70"/>
        <item x="162"/>
        <item x="96"/>
        <item x="71"/>
        <item x="13"/>
        <item x="126"/>
        <item x="72"/>
        <item x="14"/>
        <item x="97"/>
        <item x="163"/>
        <item x="73"/>
        <item x="43"/>
        <item x="98"/>
        <item x="164"/>
        <item x="99"/>
        <item x="100"/>
        <item x="165"/>
        <item x="74"/>
        <item x="44"/>
        <item x="45"/>
        <item x="15"/>
        <item x="16"/>
        <item x="166"/>
        <item x="17"/>
        <item x="101"/>
        <item x="46"/>
        <item x="127"/>
        <item x="102"/>
        <item x="128"/>
        <item x="18"/>
        <item x="129"/>
        <item x="47"/>
        <item x="167"/>
        <item x="130"/>
        <item x="131"/>
        <item x="75"/>
        <item x="103"/>
        <item x="19"/>
        <item x="132"/>
        <item x="48"/>
        <item x="104"/>
        <item x="20"/>
        <item x="168"/>
        <item x="133"/>
        <item x="49"/>
        <item x="21"/>
        <item x="169"/>
        <item x="50"/>
        <item x="76"/>
        <item x="22"/>
        <item x="23"/>
        <item x="105"/>
        <item x="134"/>
        <item x="51"/>
        <item x="135"/>
        <item x="136"/>
        <item x="52"/>
        <item x="170"/>
        <item x="53"/>
        <item x="171"/>
        <item x="77"/>
        <item x="78"/>
        <item x="106"/>
        <item x="137"/>
        <item x="24"/>
        <item x="25"/>
        <item x="138"/>
        <item x="139"/>
        <item x="172"/>
        <item x="173"/>
        <item x="26"/>
        <item x="140"/>
        <item x="141"/>
        <item x="79"/>
        <item x="174"/>
        <item x="107"/>
        <item x="27"/>
        <item x="54"/>
        <item x="142"/>
        <item x="108"/>
        <item x="28"/>
        <item x="55"/>
        <item x="143"/>
        <item x="109"/>
        <item x="110"/>
        <item x="111"/>
        <item x="144"/>
        <item x="80"/>
        <item x="112"/>
        <item x="145"/>
        <item x="29"/>
        <item x="30"/>
        <item x="81"/>
        <item x="175"/>
        <item x="56"/>
        <item x="82"/>
        <item x="146"/>
        <item x="57"/>
        <item x="113"/>
        <item x="58"/>
        <item x="83"/>
        <item x="114"/>
        <item x="115"/>
        <item x="59"/>
        <item x="176"/>
        <item x="31"/>
        <item x="147"/>
        <item x="60"/>
        <item x="84"/>
        <item x="177"/>
        <item x="148"/>
        <item x="178"/>
        <item x="179"/>
        <item x="32"/>
        <item x="85"/>
        <item x="61"/>
        <item x="86"/>
        <item x="116"/>
        <item x="33"/>
        <item x="34"/>
        <item x="35"/>
        <item x="180"/>
        <item x="149"/>
        <item x="117"/>
        <item x="36"/>
        <item t="default"/>
      </items>
    </pivotField>
    <pivotField axis="axisRow" showAll="0">
      <items count="7">
        <item x="0"/>
        <item x="1"/>
        <item x="2"/>
        <item x="3"/>
        <item x="4"/>
        <item x="5"/>
        <item t="default"/>
      </items>
    </pivotField>
    <pivotField showAll="0"/>
    <pivotField showAll="0">
      <items count="5">
        <item x="1"/>
        <item h="1" x="2"/>
        <item h="1" x="0"/>
        <item h="1" x="3"/>
        <item t="default"/>
      </items>
    </pivotField>
    <pivotField showAll="0">
      <items count="7">
        <item x="1"/>
        <item x="3"/>
        <item x="4"/>
        <item x="2"/>
        <item x="0"/>
        <item x="5"/>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i>
    <i>
      <x v="1"/>
    </i>
    <i>
      <x v="2"/>
    </i>
    <i>
      <x v="3"/>
    </i>
    <i>
      <x v="4"/>
    </i>
    <i>
      <x v="5"/>
    </i>
    <i t="grand">
      <x/>
    </i>
  </rowItems>
  <colItems count="1">
    <i/>
  </colItems>
  <dataFields count="1">
    <dataField name="Sum of Revenue USD" fld="6"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DC93BB-46DE-43A4-8A21-9B79758AF8D4}"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0" firstHeaderRow="1" firstDataRow="1" firstDataCol="1"/>
  <pivotFields count="9">
    <pivotField numFmtId="164" showAll="0">
      <items count="182">
        <item x="62"/>
        <item x="63"/>
        <item x="87"/>
        <item x="150"/>
        <item x="0"/>
        <item x="151"/>
        <item x="118"/>
        <item x="37"/>
        <item x="88"/>
        <item x="119"/>
        <item x="1"/>
        <item x="152"/>
        <item x="120"/>
        <item x="64"/>
        <item x="2"/>
        <item x="153"/>
        <item x="89"/>
        <item x="65"/>
        <item x="121"/>
        <item x="154"/>
        <item x="66"/>
        <item x="155"/>
        <item x="156"/>
        <item x="38"/>
        <item x="3"/>
        <item x="4"/>
        <item x="5"/>
        <item x="90"/>
        <item x="91"/>
        <item x="157"/>
        <item x="122"/>
        <item x="92"/>
        <item x="39"/>
        <item x="6"/>
        <item x="7"/>
        <item x="158"/>
        <item x="159"/>
        <item x="8"/>
        <item x="40"/>
        <item x="9"/>
        <item x="10"/>
        <item x="67"/>
        <item x="93"/>
        <item x="41"/>
        <item x="123"/>
        <item x="68"/>
        <item x="94"/>
        <item x="160"/>
        <item x="11"/>
        <item x="124"/>
        <item x="125"/>
        <item x="161"/>
        <item x="95"/>
        <item x="69"/>
        <item x="42"/>
        <item x="12"/>
        <item x="70"/>
        <item x="162"/>
        <item x="96"/>
        <item x="71"/>
        <item x="13"/>
        <item x="126"/>
        <item x="72"/>
        <item x="14"/>
        <item x="97"/>
        <item x="163"/>
        <item x="73"/>
        <item x="43"/>
        <item x="98"/>
        <item x="164"/>
        <item x="99"/>
        <item x="100"/>
        <item x="165"/>
        <item x="74"/>
        <item x="44"/>
        <item x="45"/>
        <item x="15"/>
        <item x="16"/>
        <item x="166"/>
        <item x="17"/>
        <item x="101"/>
        <item x="46"/>
        <item x="127"/>
        <item x="102"/>
        <item x="128"/>
        <item x="18"/>
        <item x="129"/>
        <item x="47"/>
        <item x="167"/>
        <item x="130"/>
        <item x="131"/>
        <item x="75"/>
        <item x="103"/>
        <item x="19"/>
        <item x="132"/>
        <item x="48"/>
        <item x="104"/>
        <item x="20"/>
        <item x="168"/>
        <item x="133"/>
        <item x="49"/>
        <item x="21"/>
        <item x="169"/>
        <item x="50"/>
        <item x="76"/>
        <item x="22"/>
        <item x="23"/>
        <item x="105"/>
        <item x="134"/>
        <item x="51"/>
        <item x="135"/>
        <item x="136"/>
        <item x="52"/>
        <item x="170"/>
        <item x="53"/>
        <item x="171"/>
        <item x="77"/>
        <item x="78"/>
        <item x="106"/>
        <item x="137"/>
        <item x="24"/>
        <item x="25"/>
        <item x="138"/>
        <item x="139"/>
        <item x="172"/>
        <item x="173"/>
        <item x="26"/>
        <item x="140"/>
        <item x="141"/>
        <item x="79"/>
        <item x="174"/>
        <item x="107"/>
        <item x="27"/>
        <item x="54"/>
        <item x="142"/>
        <item x="108"/>
        <item x="28"/>
        <item x="55"/>
        <item x="143"/>
        <item x="109"/>
        <item x="110"/>
        <item x="111"/>
        <item x="144"/>
        <item x="80"/>
        <item x="112"/>
        <item x="145"/>
        <item x="29"/>
        <item x="30"/>
        <item x="81"/>
        <item x="175"/>
        <item x="56"/>
        <item x="82"/>
        <item x="146"/>
        <item x="57"/>
        <item x="113"/>
        <item x="58"/>
        <item x="83"/>
        <item x="114"/>
        <item x="115"/>
        <item x="59"/>
        <item x="176"/>
        <item x="31"/>
        <item x="147"/>
        <item x="60"/>
        <item x="84"/>
        <item x="177"/>
        <item x="148"/>
        <item x="178"/>
        <item x="179"/>
        <item x="32"/>
        <item x="85"/>
        <item x="61"/>
        <item x="86"/>
        <item x="116"/>
        <item x="33"/>
        <item x="34"/>
        <item x="35"/>
        <item x="180"/>
        <item x="149"/>
        <item x="117"/>
        <item x="36"/>
        <item t="default"/>
      </items>
    </pivotField>
    <pivotField showAll="0">
      <items count="7">
        <item x="0"/>
        <item x="1"/>
        <item x="2"/>
        <item x="3"/>
        <item x="4"/>
        <item x="5"/>
        <item t="default"/>
      </items>
    </pivotField>
    <pivotField showAll="0"/>
    <pivotField showAll="0">
      <items count="5">
        <item x="1"/>
        <item h="1" x="2"/>
        <item h="1" x="0"/>
        <item h="1" x="3"/>
        <item t="default"/>
      </items>
    </pivotField>
    <pivotField axis="axisRow" showAll="0">
      <items count="7">
        <item x="1"/>
        <item x="3"/>
        <item x="4"/>
        <item x="2"/>
        <item x="0"/>
        <item x="5"/>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7">
    <i>
      <x/>
    </i>
    <i>
      <x v="1"/>
    </i>
    <i>
      <x v="2"/>
    </i>
    <i>
      <x v="3"/>
    </i>
    <i>
      <x v="4"/>
    </i>
    <i>
      <x v="5"/>
    </i>
    <i t="grand">
      <x/>
    </i>
  </rowItems>
  <colItems count="1">
    <i/>
  </colItems>
  <dataFields count="1">
    <dataField name="Sum of Revenue USD"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CC8BD3A-CAAA-439F-9D11-EEDCED6DCB46}"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7:A28" firstHeaderRow="1" firstDataRow="1" firstDataCol="0"/>
  <pivotFields count="9">
    <pivotField numFmtId="164" showAll="0">
      <items count="182">
        <item x="62"/>
        <item x="63"/>
        <item x="87"/>
        <item x="150"/>
        <item x="0"/>
        <item x="151"/>
        <item x="118"/>
        <item x="37"/>
        <item x="88"/>
        <item x="119"/>
        <item x="1"/>
        <item x="152"/>
        <item x="120"/>
        <item x="64"/>
        <item x="2"/>
        <item x="153"/>
        <item x="89"/>
        <item x="65"/>
        <item x="121"/>
        <item x="154"/>
        <item x="66"/>
        <item x="155"/>
        <item x="156"/>
        <item x="38"/>
        <item x="3"/>
        <item x="4"/>
        <item x="5"/>
        <item x="90"/>
        <item x="91"/>
        <item x="157"/>
        <item x="122"/>
        <item x="92"/>
        <item x="39"/>
        <item x="6"/>
        <item x="7"/>
        <item x="158"/>
        <item x="159"/>
        <item x="8"/>
        <item x="40"/>
        <item x="9"/>
        <item x="10"/>
        <item x="67"/>
        <item x="93"/>
        <item x="41"/>
        <item x="123"/>
        <item x="68"/>
        <item x="94"/>
        <item x="160"/>
        <item x="11"/>
        <item x="124"/>
        <item x="125"/>
        <item x="161"/>
        <item x="95"/>
        <item x="69"/>
        <item x="42"/>
        <item x="12"/>
        <item x="70"/>
        <item x="162"/>
        <item x="96"/>
        <item x="71"/>
        <item x="13"/>
        <item x="126"/>
        <item x="72"/>
        <item x="14"/>
        <item x="97"/>
        <item x="163"/>
        <item x="73"/>
        <item x="43"/>
        <item x="98"/>
        <item x="164"/>
        <item x="99"/>
        <item x="100"/>
        <item x="165"/>
        <item x="74"/>
        <item x="44"/>
        <item x="45"/>
        <item x="15"/>
        <item x="16"/>
        <item x="166"/>
        <item x="17"/>
        <item x="101"/>
        <item x="46"/>
        <item x="127"/>
        <item x="102"/>
        <item x="128"/>
        <item x="18"/>
        <item x="129"/>
        <item x="47"/>
        <item x="167"/>
        <item x="130"/>
        <item x="131"/>
        <item x="75"/>
        <item x="103"/>
        <item x="19"/>
        <item x="132"/>
        <item x="48"/>
        <item x="104"/>
        <item x="20"/>
        <item x="168"/>
        <item x="133"/>
        <item x="49"/>
        <item x="21"/>
        <item x="169"/>
        <item x="50"/>
        <item x="76"/>
        <item x="22"/>
        <item x="23"/>
        <item x="105"/>
        <item x="134"/>
        <item x="51"/>
        <item x="135"/>
        <item x="136"/>
        <item x="52"/>
        <item x="170"/>
        <item x="53"/>
        <item x="171"/>
        <item x="77"/>
        <item x="78"/>
        <item x="106"/>
        <item x="137"/>
        <item x="24"/>
        <item x="25"/>
        <item x="138"/>
        <item x="139"/>
        <item x="172"/>
        <item x="173"/>
        <item x="26"/>
        <item x="140"/>
        <item x="141"/>
        <item x="79"/>
        <item x="174"/>
        <item x="107"/>
        <item x="27"/>
        <item x="54"/>
        <item x="142"/>
        <item x="108"/>
        <item x="28"/>
        <item x="55"/>
        <item x="143"/>
        <item x="109"/>
        <item x="110"/>
        <item x="111"/>
        <item x="144"/>
        <item x="80"/>
        <item x="112"/>
        <item x="145"/>
        <item x="29"/>
        <item x="30"/>
        <item x="81"/>
        <item x="175"/>
        <item x="56"/>
        <item x="82"/>
        <item x="146"/>
        <item x="57"/>
        <item x="113"/>
        <item x="58"/>
        <item x="83"/>
        <item x="114"/>
        <item x="115"/>
        <item x="59"/>
        <item x="176"/>
        <item x="31"/>
        <item x="147"/>
        <item x="60"/>
        <item x="84"/>
        <item x="177"/>
        <item x="148"/>
        <item x="178"/>
        <item x="179"/>
        <item x="32"/>
        <item x="85"/>
        <item x="61"/>
        <item x="86"/>
        <item x="116"/>
        <item x="33"/>
        <item x="34"/>
        <item x="35"/>
        <item x="180"/>
        <item x="149"/>
        <item x="117"/>
        <item x="36"/>
        <item t="default"/>
      </items>
    </pivotField>
    <pivotField dataField="1" showAll="0">
      <items count="7">
        <item x="0"/>
        <item x="1"/>
        <item x="2"/>
        <item x="3"/>
        <item x="4"/>
        <item x="5"/>
        <item t="default"/>
      </items>
    </pivotField>
    <pivotField showAll="0"/>
    <pivotField showAll="0">
      <items count="5">
        <item x="1"/>
        <item h="1" x="2"/>
        <item h="1" x="0"/>
        <item h="1" x="3"/>
        <item t="default"/>
      </items>
    </pivotField>
    <pivotField showAll="0">
      <items count="7">
        <item x="1"/>
        <item x="3"/>
        <item x="4"/>
        <item x="2"/>
        <item x="0"/>
        <item x="5"/>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Course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Name1" xr10:uid="{CA1BB52D-206A-4446-B41C-A98E17AFC956}" sourceName="Course Name">
  <pivotTables>
    <pivotTable tabId="10" name="PivotTable6"/>
    <pivotTable tabId="6" name="PivotTable8"/>
    <pivotTable tabId="6" name="PivotTable7"/>
    <pivotTable tabId="6" name="PivotTable6"/>
    <pivotTable tabId="4" name="PivotTable5"/>
    <pivotTable tabId="3" name="PivotTable4"/>
    <pivotTable tabId="2" name="PivotTable2"/>
    <pivotTable tabId="6" name="PivotTable1"/>
    <pivotTable tabId="10" name="PivotTable10"/>
    <pivotTable tabId="10" name="PivotTable7"/>
    <pivotTable tabId="10" name="PivotTable8"/>
    <pivotTable tabId="10" name="PivotTable9"/>
  </pivotTables>
  <data>
    <tabular pivotCacheId="226756326">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562907-D86F-497B-BFA8-D7BDD3F13248}" sourceName="Category">
  <pivotTables>
    <pivotTable tabId="10" name="PivotTable6"/>
    <pivotTable tabId="2" name="PivotTable2"/>
    <pivotTable tabId="3" name="PivotTable4"/>
    <pivotTable tabId="4" name="PivotTable5"/>
    <pivotTable tabId="6" name="PivotTable1"/>
    <pivotTable tabId="6" name="PivotTable6"/>
    <pivotTable tabId="6" name="PivotTable7"/>
    <pivotTable tabId="6" name="PivotTable8"/>
    <pivotTable tabId="10" name="PivotTable7"/>
    <pivotTable tabId="10" name="PivotTable8"/>
    <pivotTable tabId="10" name="PivotTable9"/>
    <pivotTable tabId="10" name="PivotTable10"/>
  </pivotTables>
  <data>
    <tabular pivotCacheId="226756326">
      <items count="4">
        <i x="1" s="1"/>
        <i x="2"/>
        <i x="0"/>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F5A2132-4F7F-4D8A-BA7E-403E2CA428B7}" sourceName="State ">
  <pivotTables>
    <pivotTable tabId="10" name="PivotTable6"/>
    <pivotTable tabId="2" name="PivotTable2"/>
    <pivotTable tabId="3" name="PivotTable4"/>
    <pivotTable tabId="4" name="PivotTable5"/>
    <pivotTable tabId="6" name="PivotTable1"/>
    <pivotTable tabId="6" name="PivotTable6"/>
    <pivotTable tabId="6" name="PivotTable7"/>
    <pivotTable tabId="6" name="PivotTable8"/>
    <pivotTable tabId="10" name="PivotTable10"/>
    <pivotTable tabId="10" name="PivotTable7"/>
    <pivotTable tabId="10" name="PivotTable8"/>
    <pivotTable tabId="10" name="PivotTable9"/>
  </pivotTables>
  <data>
    <tabular pivotCacheId="226756326">
      <items count="6">
        <i x="1" s="1"/>
        <i x="3" s="1"/>
        <i x="4" s="1"/>
        <i x="2"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Name" xr10:uid="{6D724397-7125-4A7F-8796-F66A5E887420}" cache="Slicer_Course_Name1" caption="Course Name" showCaption="0" style="SlicerStyleDark2"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Name 1" xr10:uid="{8EDC0EF5-3FCE-4C43-9002-47DE659D2ECB}" cache="Slicer_Course_Name1" caption="Course Name" rowHeight="234950"/>
  <slicer name="Category" xr10:uid="{D27481E5-82F0-4F39-BB5B-C0F65475A44E}" cache="Slicer_Category" caption="Category" rowHeight="234950"/>
  <slicer name="State " xr10:uid="{E89931E4-3642-434C-B35E-3D08DC274D8C}" cache="Slicer_State" caption="State "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Name 2" xr10:uid="{C66C4265-41DE-42E2-84E3-F53BFA8B75BC}" cache="Slicer_Course_Name1" caption="Course Name" columnCount="2" style="SlicerStyleLight6" rowHeight="234950"/>
  <slicer name="Category 1" xr10:uid="{75C79417-F999-421E-8333-BCA1BD801B5A}" cache="Slicer_Category" caption="Category" style="SlicerStyleLight3" rowHeight="234950"/>
  <slicer name="State  1" xr10:uid="{02E4ED36-1D3E-45A8-B66B-6640279B0D75}" cache="Slicer_State" caption="State " columnCount="2"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F4A5CD-5329-45AF-A2C6-395CE96443D7}" name="Table1" displayName="Table1" ref="A3:G56" totalsRowShown="0">
  <autoFilter ref="A3:G56" xr:uid="{94F4A5CD-5329-45AF-A2C6-395CE96443D7}"/>
  <tableColumns count="7">
    <tableColumn id="1" xr3:uid="{DFC854D9-2550-4B92-A943-013BB94F0F21}" name="Date" dataDxfId="56"/>
    <tableColumn id="2" xr3:uid="{C5CA13BF-FAB5-42D9-8764-28247FC91722}" name="Course Name"/>
    <tableColumn id="3" xr3:uid="{71C968F1-0625-4E81-ADF3-23B810F63481}" name="Instructor"/>
    <tableColumn id="4" xr3:uid="{18452DD8-52E6-4356-AE58-8E2C3FC18D40}" name="Category"/>
    <tableColumn id="5" xr3:uid="{2AA6D933-1996-4CD6-AD80-D345DD7151A1}" name="State "/>
    <tableColumn id="6" xr3:uid="{9F28C329-3186-45E6-842F-F4390C2C75F8}" name="Enrollments"/>
    <tableColumn id="7" xr3:uid="{ABA60D66-D9E6-45F8-B0E8-BFEAD7D9AE5E}" name="Revenue US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786DF42-6060-41FA-9AB9-6754847F2F68}" sourceName="Date">
  <pivotTables>
    <pivotTable tabId="10" name="PivotTable6"/>
    <pivotTable tabId="2" name="PivotTable2"/>
    <pivotTable tabId="3" name="PivotTable4"/>
    <pivotTable tabId="4" name="PivotTable5"/>
    <pivotTable tabId="6" name="PivotTable1"/>
    <pivotTable tabId="6" name="PivotTable6"/>
    <pivotTable tabId="6" name="PivotTable7"/>
    <pivotTable tabId="6" name="PivotTable8"/>
    <pivotTable tabId="10" name="PivotTable10"/>
    <pivotTable tabId="10" name="PivotTable7"/>
    <pivotTable tabId="10" name="PivotTable8"/>
    <pivotTable tabId="10" name="PivotTable9"/>
  </pivotTables>
  <state minimalRefreshVersion="6" lastRefreshVersion="6" pivotCacheId="226756326"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2CD5F92-FDF1-4FAA-886F-BB5D23DF1F08}" cache="NativeTimeline_Date" caption="Date" level="2" selectionLevel="2" scrollPosition="202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A409C1C-4176-4211-BF69-9A73789510C4}" cache="NativeTimeline_Date" caption="Date" level="2" selectionLevel="2" scrollPosition="2026-01-01T00:00:00" style="TimeSlicerStyleLight5"/>
</timeline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10.xml"/><Relationship Id="rId7" Type="http://schemas.microsoft.com/office/2007/relationships/slicer" Target="../slicers/slicer2.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6.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2"/>
  <sheetViews>
    <sheetView zoomScale="150" zoomScaleNormal="150" workbookViewId="0">
      <selection activeCell="F170" sqref="A1:G182"/>
    </sheetView>
  </sheetViews>
  <sheetFormatPr defaultRowHeight="14.4" x14ac:dyDescent="0.3"/>
  <cols>
    <col min="1" max="1" width="11.88671875" customWidth="1"/>
    <col min="2" max="2" width="13.44140625" customWidth="1"/>
    <col min="3" max="3" width="15.44140625" bestFit="1" customWidth="1"/>
    <col min="4" max="4" width="10.6640625" bestFit="1" customWidth="1"/>
    <col min="5" max="5" width="11" bestFit="1" customWidth="1"/>
    <col min="6" max="6" width="12.33203125" customWidth="1"/>
    <col min="7" max="7" width="13.44140625" customWidth="1"/>
  </cols>
  <sheetData>
    <row r="1" spans="1:7" x14ac:dyDescent="0.3">
      <c r="A1" s="3" t="s">
        <v>0</v>
      </c>
      <c r="B1" s="4" t="s">
        <v>1</v>
      </c>
      <c r="C1" s="4" t="s">
        <v>2</v>
      </c>
      <c r="D1" s="4" t="s">
        <v>3</v>
      </c>
      <c r="E1" s="4" t="s">
        <v>4</v>
      </c>
      <c r="F1" s="4" t="s">
        <v>6</v>
      </c>
      <c r="G1" s="5" t="s">
        <v>5</v>
      </c>
    </row>
    <row r="2" spans="1:7" x14ac:dyDescent="0.3">
      <c r="A2" s="6">
        <v>46027</v>
      </c>
      <c r="B2" s="7" t="s">
        <v>11</v>
      </c>
      <c r="C2" s="7" t="s">
        <v>28</v>
      </c>
      <c r="D2" s="7" t="s">
        <v>18</v>
      </c>
      <c r="E2" s="7" t="s">
        <v>24</v>
      </c>
      <c r="F2" s="7">
        <v>29</v>
      </c>
      <c r="G2" s="8">
        <v>3323</v>
      </c>
    </row>
    <row r="3" spans="1:7" x14ac:dyDescent="0.3">
      <c r="A3" s="9">
        <v>46033</v>
      </c>
      <c r="B3" s="10" t="s">
        <v>11</v>
      </c>
      <c r="C3" s="10" t="s">
        <v>26</v>
      </c>
      <c r="D3" s="10" t="s">
        <v>15</v>
      </c>
      <c r="E3" s="10" t="s">
        <v>24</v>
      </c>
      <c r="F3" s="10">
        <v>82</v>
      </c>
      <c r="G3" s="11">
        <v>4141</v>
      </c>
    </row>
    <row r="4" spans="1:7" x14ac:dyDescent="0.3">
      <c r="A4" s="6">
        <v>46037</v>
      </c>
      <c r="B4" s="7" t="s">
        <v>11</v>
      </c>
      <c r="C4" s="7" t="s">
        <v>13</v>
      </c>
      <c r="D4" s="7" t="s">
        <v>16</v>
      </c>
      <c r="E4" s="7" t="s">
        <v>22</v>
      </c>
      <c r="F4" s="7">
        <v>54</v>
      </c>
      <c r="G4" s="8">
        <v>1736</v>
      </c>
    </row>
    <row r="5" spans="1:7" x14ac:dyDescent="0.3">
      <c r="A5" s="9">
        <v>46047</v>
      </c>
      <c r="B5" s="10" t="s">
        <v>11</v>
      </c>
      <c r="C5" s="10" t="s">
        <v>12</v>
      </c>
      <c r="D5" s="10" t="s">
        <v>18</v>
      </c>
      <c r="E5" s="10" t="s">
        <v>21</v>
      </c>
      <c r="F5" s="10">
        <v>39</v>
      </c>
      <c r="G5" s="11">
        <v>4731</v>
      </c>
    </row>
    <row r="6" spans="1:7" x14ac:dyDescent="0.3">
      <c r="A6" s="6">
        <v>46048</v>
      </c>
      <c r="B6" s="7" t="s">
        <v>11</v>
      </c>
      <c r="C6" s="7" t="s">
        <v>28</v>
      </c>
      <c r="D6" s="7" t="s">
        <v>17</v>
      </c>
      <c r="E6" s="7" t="s">
        <v>24</v>
      </c>
      <c r="F6" s="7">
        <v>53</v>
      </c>
      <c r="G6" s="8">
        <v>3788</v>
      </c>
    </row>
    <row r="7" spans="1:7" x14ac:dyDescent="0.3">
      <c r="A7" s="9">
        <v>46049</v>
      </c>
      <c r="B7" s="10" t="s">
        <v>11</v>
      </c>
      <c r="C7" s="10" t="s">
        <v>12</v>
      </c>
      <c r="D7" s="10" t="s">
        <v>18</v>
      </c>
      <c r="E7" s="10" t="s">
        <v>20</v>
      </c>
      <c r="F7" s="10">
        <v>118</v>
      </c>
      <c r="G7" s="11">
        <v>4027</v>
      </c>
    </row>
    <row r="8" spans="1:7" x14ac:dyDescent="0.3">
      <c r="A8" s="6">
        <v>46056</v>
      </c>
      <c r="B8" s="7" t="s">
        <v>11</v>
      </c>
      <c r="C8" s="7" t="s">
        <v>13</v>
      </c>
      <c r="D8" s="7" t="s">
        <v>18</v>
      </c>
      <c r="E8" s="7" t="s">
        <v>23</v>
      </c>
      <c r="F8" s="7">
        <v>111</v>
      </c>
      <c r="G8" s="8">
        <v>2962</v>
      </c>
    </row>
    <row r="9" spans="1:7" x14ac:dyDescent="0.3">
      <c r="A9" s="9">
        <v>46057</v>
      </c>
      <c r="B9" s="10" t="s">
        <v>11</v>
      </c>
      <c r="C9" s="10" t="s">
        <v>14</v>
      </c>
      <c r="D9" s="10" t="s">
        <v>15</v>
      </c>
      <c r="E9" s="10" t="s">
        <v>23</v>
      </c>
      <c r="F9" s="10">
        <v>118</v>
      </c>
      <c r="G9" s="11">
        <v>2878</v>
      </c>
    </row>
    <row r="10" spans="1:7" x14ac:dyDescent="0.3">
      <c r="A10" s="6">
        <v>46060</v>
      </c>
      <c r="B10" s="7" t="s">
        <v>11</v>
      </c>
      <c r="C10" s="7" t="s">
        <v>26</v>
      </c>
      <c r="D10" s="7" t="s">
        <v>18</v>
      </c>
      <c r="E10" s="7" t="s">
        <v>24</v>
      </c>
      <c r="F10" s="7">
        <v>76</v>
      </c>
      <c r="G10" s="8">
        <v>4677</v>
      </c>
    </row>
    <row r="11" spans="1:7" x14ac:dyDescent="0.3">
      <c r="A11" s="9">
        <v>46062</v>
      </c>
      <c r="B11" s="10" t="s">
        <v>11</v>
      </c>
      <c r="C11" s="10" t="s">
        <v>13</v>
      </c>
      <c r="D11" s="10" t="s">
        <v>17</v>
      </c>
      <c r="E11" s="10" t="s">
        <v>19</v>
      </c>
      <c r="F11" s="10">
        <v>118</v>
      </c>
      <c r="G11" s="11">
        <v>2784</v>
      </c>
    </row>
    <row r="12" spans="1:7" x14ac:dyDescent="0.3">
      <c r="A12" s="6">
        <v>46063</v>
      </c>
      <c r="B12" s="7" t="s">
        <v>11</v>
      </c>
      <c r="C12" s="7" t="s">
        <v>12</v>
      </c>
      <c r="D12" s="7" t="s">
        <v>16</v>
      </c>
      <c r="E12" s="7" t="s">
        <v>22</v>
      </c>
      <c r="F12" s="7">
        <v>46</v>
      </c>
      <c r="G12" s="8">
        <v>4212</v>
      </c>
    </row>
    <row r="13" spans="1:7" x14ac:dyDescent="0.3">
      <c r="A13" s="9">
        <v>46071</v>
      </c>
      <c r="B13" s="10" t="s">
        <v>11</v>
      </c>
      <c r="C13" s="10" t="s">
        <v>28</v>
      </c>
      <c r="D13" s="10" t="s">
        <v>15</v>
      </c>
      <c r="E13" s="10" t="s">
        <v>23</v>
      </c>
      <c r="F13" s="10">
        <v>21</v>
      </c>
      <c r="G13" s="11">
        <v>4914</v>
      </c>
    </row>
    <row r="14" spans="1:7" x14ac:dyDescent="0.3">
      <c r="A14" s="6">
        <v>46078</v>
      </c>
      <c r="B14" s="7" t="s">
        <v>11</v>
      </c>
      <c r="C14" s="7" t="s">
        <v>14</v>
      </c>
      <c r="D14" s="7" t="s">
        <v>18</v>
      </c>
      <c r="E14" s="7" t="s">
        <v>24</v>
      </c>
      <c r="F14" s="7">
        <v>89</v>
      </c>
      <c r="G14" s="8">
        <v>4714</v>
      </c>
    </row>
    <row r="15" spans="1:7" x14ac:dyDescent="0.3">
      <c r="A15" s="9">
        <v>46083</v>
      </c>
      <c r="B15" s="10" t="s">
        <v>11</v>
      </c>
      <c r="C15" s="10" t="s">
        <v>13</v>
      </c>
      <c r="D15" s="10" t="s">
        <v>15</v>
      </c>
      <c r="E15" s="10" t="s">
        <v>22</v>
      </c>
      <c r="F15" s="10">
        <v>44</v>
      </c>
      <c r="G15" s="11">
        <v>4028</v>
      </c>
    </row>
    <row r="16" spans="1:7" x14ac:dyDescent="0.3">
      <c r="A16" s="6">
        <v>46086</v>
      </c>
      <c r="B16" s="7" t="s">
        <v>11</v>
      </c>
      <c r="C16" s="7" t="s">
        <v>12</v>
      </c>
      <c r="D16" s="7" t="s">
        <v>18</v>
      </c>
      <c r="E16" s="7" t="s">
        <v>21</v>
      </c>
      <c r="F16" s="7">
        <v>71</v>
      </c>
      <c r="G16" s="8">
        <v>5060</v>
      </c>
    </row>
    <row r="17" spans="1:7" x14ac:dyDescent="0.3">
      <c r="A17" s="9">
        <v>46099</v>
      </c>
      <c r="B17" s="10" t="s">
        <v>11</v>
      </c>
      <c r="C17" s="10" t="s">
        <v>14</v>
      </c>
      <c r="D17" s="10" t="s">
        <v>16</v>
      </c>
      <c r="E17" s="10" t="s">
        <v>24</v>
      </c>
      <c r="F17" s="10">
        <v>71</v>
      </c>
      <c r="G17" s="11">
        <v>3479</v>
      </c>
    </row>
    <row r="18" spans="1:7" x14ac:dyDescent="0.3">
      <c r="A18" s="6">
        <v>46100</v>
      </c>
      <c r="B18" s="7" t="s">
        <v>11</v>
      </c>
      <c r="C18" s="7" t="s">
        <v>27</v>
      </c>
      <c r="D18" s="7" t="s">
        <v>17</v>
      </c>
      <c r="E18" s="7" t="s">
        <v>24</v>
      </c>
      <c r="F18" s="7">
        <v>84</v>
      </c>
      <c r="G18" s="8">
        <v>3700</v>
      </c>
    </row>
    <row r="19" spans="1:7" x14ac:dyDescent="0.3">
      <c r="A19" s="9">
        <v>46102</v>
      </c>
      <c r="B19" s="10" t="s">
        <v>11</v>
      </c>
      <c r="C19" s="10" t="s">
        <v>12</v>
      </c>
      <c r="D19" s="10" t="s">
        <v>15</v>
      </c>
      <c r="E19" s="10" t="s">
        <v>19</v>
      </c>
      <c r="F19" s="10">
        <v>20</v>
      </c>
      <c r="G19" s="11">
        <v>2185</v>
      </c>
    </row>
    <row r="20" spans="1:7" x14ac:dyDescent="0.3">
      <c r="A20" s="6">
        <v>46108</v>
      </c>
      <c r="B20" s="7" t="s">
        <v>11</v>
      </c>
      <c r="C20" s="7" t="s">
        <v>26</v>
      </c>
      <c r="D20" s="7" t="s">
        <v>17</v>
      </c>
      <c r="E20" s="7" t="s">
        <v>24</v>
      </c>
      <c r="F20" s="7">
        <v>94</v>
      </c>
      <c r="G20" s="8">
        <v>1820</v>
      </c>
    </row>
    <row r="21" spans="1:7" x14ac:dyDescent="0.3">
      <c r="A21" s="9">
        <v>46116</v>
      </c>
      <c r="B21" s="10" t="s">
        <v>11</v>
      </c>
      <c r="C21" s="10" t="s">
        <v>26</v>
      </c>
      <c r="D21" s="10" t="s">
        <v>18</v>
      </c>
      <c r="E21" s="10" t="s">
        <v>19</v>
      </c>
      <c r="F21" s="10">
        <v>96</v>
      </c>
      <c r="G21" s="11">
        <v>4795</v>
      </c>
    </row>
    <row r="22" spans="1:7" x14ac:dyDescent="0.3">
      <c r="A22" s="6">
        <v>46120</v>
      </c>
      <c r="B22" s="7" t="s">
        <v>11</v>
      </c>
      <c r="C22" s="7" t="s">
        <v>27</v>
      </c>
      <c r="D22" s="7" t="s">
        <v>16</v>
      </c>
      <c r="E22" s="7" t="s">
        <v>20</v>
      </c>
      <c r="F22" s="7">
        <v>90</v>
      </c>
      <c r="G22" s="8">
        <v>1700</v>
      </c>
    </row>
    <row r="23" spans="1:7" x14ac:dyDescent="0.3">
      <c r="A23" s="9">
        <v>46124</v>
      </c>
      <c r="B23" s="10" t="s">
        <v>11</v>
      </c>
      <c r="C23" s="10" t="s">
        <v>28</v>
      </c>
      <c r="D23" s="10" t="s">
        <v>16</v>
      </c>
      <c r="E23" s="10" t="s">
        <v>20</v>
      </c>
      <c r="F23" s="10">
        <v>58</v>
      </c>
      <c r="G23" s="11">
        <v>1841</v>
      </c>
    </row>
    <row r="24" spans="1:7" x14ac:dyDescent="0.3">
      <c r="A24" s="6">
        <v>46128</v>
      </c>
      <c r="B24" s="7" t="s">
        <v>11</v>
      </c>
      <c r="C24" s="7" t="s">
        <v>14</v>
      </c>
      <c r="D24" s="7" t="s">
        <v>18</v>
      </c>
      <c r="E24" s="7" t="s">
        <v>22</v>
      </c>
      <c r="F24" s="7">
        <v>71</v>
      </c>
      <c r="G24" s="8">
        <v>2017</v>
      </c>
    </row>
    <row r="25" spans="1:7" x14ac:dyDescent="0.3">
      <c r="A25" s="9">
        <v>46129</v>
      </c>
      <c r="B25" s="10" t="s">
        <v>11</v>
      </c>
      <c r="C25" s="10" t="s">
        <v>26</v>
      </c>
      <c r="D25" s="10" t="s">
        <v>17</v>
      </c>
      <c r="E25" s="10" t="s">
        <v>20</v>
      </c>
      <c r="F25" s="10">
        <v>56</v>
      </c>
      <c r="G25" s="11">
        <v>2853</v>
      </c>
    </row>
    <row r="26" spans="1:7" x14ac:dyDescent="0.3">
      <c r="A26" s="6">
        <v>46143</v>
      </c>
      <c r="B26" s="7" t="s">
        <v>11</v>
      </c>
      <c r="C26" s="7" t="s">
        <v>13</v>
      </c>
      <c r="D26" s="7" t="s">
        <v>15</v>
      </c>
      <c r="E26" s="7" t="s">
        <v>24</v>
      </c>
      <c r="F26" s="7">
        <v>49</v>
      </c>
      <c r="G26" s="8">
        <v>4982</v>
      </c>
    </row>
    <row r="27" spans="1:7" x14ac:dyDescent="0.3">
      <c r="A27" s="9">
        <v>46144</v>
      </c>
      <c r="B27" s="10" t="s">
        <v>11</v>
      </c>
      <c r="C27" s="10" t="s">
        <v>12</v>
      </c>
      <c r="D27" s="10" t="s">
        <v>18</v>
      </c>
      <c r="E27" s="10" t="s">
        <v>24</v>
      </c>
      <c r="F27" s="10">
        <v>88</v>
      </c>
      <c r="G27" s="11">
        <v>2948</v>
      </c>
    </row>
    <row r="28" spans="1:7" x14ac:dyDescent="0.3">
      <c r="A28" s="6">
        <v>46149</v>
      </c>
      <c r="B28" s="7" t="s">
        <v>11</v>
      </c>
      <c r="C28" s="7" t="s">
        <v>14</v>
      </c>
      <c r="D28" s="7" t="s">
        <v>15</v>
      </c>
      <c r="E28" s="7" t="s">
        <v>20</v>
      </c>
      <c r="F28" s="7">
        <v>25</v>
      </c>
      <c r="G28" s="8">
        <v>2603</v>
      </c>
    </row>
    <row r="29" spans="1:7" x14ac:dyDescent="0.3">
      <c r="A29" s="9">
        <v>46155</v>
      </c>
      <c r="B29" s="10" t="s">
        <v>11</v>
      </c>
      <c r="C29" s="10" t="s">
        <v>12</v>
      </c>
      <c r="D29" s="10" t="s">
        <v>15</v>
      </c>
      <c r="E29" s="10" t="s">
        <v>23</v>
      </c>
      <c r="F29" s="10">
        <v>99</v>
      </c>
      <c r="G29" s="11">
        <v>2390</v>
      </c>
    </row>
    <row r="30" spans="1:7" x14ac:dyDescent="0.3">
      <c r="A30" s="6">
        <v>46159</v>
      </c>
      <c r="B30" s="7" t="s">
        <v>11</v>
      </c>
      <c r="C30" s="7" t="s">
        <v>13</v>
      </c>
      <c r="D30" s="7" t="s">
        <v>17</v>
      </c>
      <c r="E30" s="7" t="s">
        <v>20</v>
      </c>
      <c r="F30" s="7">
        <v>31</v>
      </c>
      <c r="G30" s="8">
        <v>4083</v>
      </c>
    </row>
    <row r="31" spans="1:7" x14ac:dyDescent="0.3">
      <c r="A31" s="9">
        <v>46169</v>
      </c>
      <c r="B31" s="10" t="s">
        <v>11</v>
      </c>
      <c r="C31" s="10" t="s">
        <v>12</v>
      </c>
      <c r="D31" s="10" t="s">
        <v>16</v>
      </c>
      <c r="E31" s="10" t="s">
        <v>24</v>
      </c>
      <c r="F31" s="10">
        <v>110</v>
      </c>
      <c r="G31" s="11">
        <v>2084</v>
      </c>
    </row>
    <row r="32" spans="1:7" x14ac:dyDescent="0.3">
      <c r="A32" s="6">
        <v>46170</v>
      </c>
      <c r="B32" s="7" t="s">
        <v>11</v>
      </c>
      <c r="C32" s="7" t="s">
        <v>27</v>
      </c>
      <c r="D32" s="7" t="s">
        <v>16</v>
      </c>
      <c r="E32" s="7" t="s">
        <v>23</v>
      </c>
      <c r="F32" s="7">
        <v>102</v>
      </c>
      <c r="G32" s="8">
        <v>4125</v>
      </c>
    </row>
    <row r="33" spans="1:7" x14ac:dyDescent="0.3">
      <c r="A33" s="9">
        <v>46184</v>
      </c>
      <c r="B33" s="10" t="s">
        <v>11</v>
      </c>
      <c r="C33" s="10" t="s">
        <v>28</v>
      </c>
      <c r="D33" s="10" t="s">
        <v>18</v>
      </c>
      <c r="E33" s="10" t="s">
        <v>24</v>
      </c>
      <c r="F33" s="10">
        <v>120</v>
      </c>
      <c r="G33" s="11">
        <v>2939</v>
      </c>
    </row>
    <row r="34" spans="1:7" x14ac:dyDescent="0.3">
      <c r="A34" s="6">
        <v>46192</v>
      </c>
      <c r="B34" s="7" t="s">
        <v>11</v>
      </c>
      <c r="C34" s="7" t="s">
        <v>27</v>
      </c>
      <c r="D34" s="7" t="s">
        <v>16</v>
      </c>
      <c r="E34" s="7" t="s">
        <v>22</v>
      </c>
      <c r="F34" s="7">
        <v>29</v>
      </c>
      <c r="G34" s="8">
        <v>3743</v>
      </c>
    </row>
    <row r="35" spans="1:7" x14ac:dyDescent="0.3">
      <c r="A35" s="9">
        <v>46197</v>
      </c>
      <c r="B35" s="10" t="s">
        <v>11</v>
      </c>
      <c r="C35" s="10" t="s">
        <v>27</v>
      </c>
      <c r="D35" s="10" t="s">
        <v>18</v>
      </c>
      <c r="E35" s="10" t="s">
        <v>22</v>
      </c>
      <c r="F35" s="10">
        <v>103</v>
      </c>
      <c r="G35" s="11">
        <v>4317</v>
      </c>
    </row>
    <row r="36" spans="1:7" x14ac:dyDescent="0.3">
      <c r="A36" s="6">
        <v>46198</v>
      </c>
      <c r="B36" s="7" t="s">
        <v>11</v>
      </c>
      <c r="C36" s="7" t="s">
        <v>26</v>
      </c>
      <c r="D36" s="7" t="s">
        <v>15</v>
      </c>
      <c r="E36" s="7" t="s">
        <v>21</v>
      </c>
      <c r="F36" s="7">
        <v>64</v>
      </c>
      <c r="G36" s="8">
        <v>3376</v>
      </c>
    </row>
    <row r="37" spans="1:7" x14ac:dyDescent="0.3">
      <c r="A37" s="9">
        <v>46199</v>
      </c>
      <c r="B37" s="10" t="s">
        <v>11</v>
      </c>
      <c r="C37" s="10" t="s">
        <v>28</v>
      </c>
      <c r="D37" s="10" t="s">
        <v>17</v>
      </c>
      <c r="E37" s="10" t="s">
        <v>20</v>
      </c>
      <c r="F37" s="10">
        <v>80</v>
      </c>
      <c r="G37" s="11">
        <v>4936</v>
      </c>
    </row>
    <row r="38" spans="1:7" x14ac:dyDescent="0.3">
      <c r="A38" s="6">
        <v>46203</v>
      </c>
      <c r="B38" s="7" t="s">
        <v>11</v>
      </c>
      <c r="C38" s="7" t="s">
        <v>28</v>
      </c>
      <c r="D38" s="7" t="s">
        <v>16</v>
      </c>
      <c r="E38" s="7" t="s">
        <v>23</v>
      </c>
      <c r="F38" s="7">
        <v>90</v>
      </c>
      <c r="G38" s="8">
        <v>2546</v>
      </c>
    </row>
    <row r="39" spans="1:7" x14ac:dyDescent="0.3">
      <c r="A39" s="9">
        <v>46030</v>
      </c>
      <c r="B39" s="10" t="s">
        <v>7</v>
      </c>
      <c r="C39" s="10" t="s">
        <v>13</v>
      </c>
      <c r="D39" s="10" t="s">
        <v>16</v>
      </c>
      <c r="E39" s="10" t="s">
        <v>20</v>
      </c>
      <c r="F39" s="10">
        <v>45</v>
      </c>
      <c r="G39" s="11">
        <v>3104</v>
      </c>
    </row>
    <row r="40" spans="1:7" x14ac:dyDescent="0.3">
      <c r="A40" s="6">
        <v>46046</v>
      </c>
      <c r="B40" s="7" t="s">
        <v>7</v>
      </c>
      <c r="C40" s="7" t="s">
        <v>27</v>
      </c>
      <c r="D40" s="7" t="s">
        <v>17</v>
      </c>
      <c r="E40" s="7" t="s">
        <v>23</v>
      </c>
      <c r="F40" s="7">
        <v>48</v>
      </c>
      <c r="G40" s="8">
        <v>2285</v>
      </c>
    </row>
    <row r="41" spans="1:7" x14ac:dyDescent="0.3">
      <c r="A41" s="9">
        <v>46055</v>
      </c>
      <c r="B41" s="10" t="s">
        <v>7</v>
      </c>
      <c r="C41" s="10" t="s">
        <v>27</v>
      </c>
      <c r="D41" s="10" t="s">
        <v>18</v>
      </c>
      <c r="E41" s="10" t="s">
        <v>24</v>
      </c>
      <c r="F41" s="10">
        <v>33</v>
      </c>
      <c r="G41" s="11">
        <v>3383</v>
      </c>
    </row>
    <row r="42" spans="1:7" x14ac:dyDescent="0.3">
      <c r="A42" s="6">
        <v>46061</v>
      </c>
      <c r="B42" s="7" t="s">
        <v>7</v>
      </c>
      <c r="C42" s="7" t="s">
        <v>28</v>
      </c>
      <c r="D42" s="7" t="s">
        <v>15</v>
      </c>
      <c r="E42" s="7" t="s">
        <v>24</v>
      </c>
      <c r="F42" s="7">
        <v>48</v>
      </c>
      <c r="G42" s="8">
        <v>2389</v>
      </c>
    </row>
    <row r="43" spans="1:7" x14ac:dyDescent="0.3">
      <c r="A43" s="9">
        <v>46066</v>
      </c>
      <c r="B43" s="10" t="s">
        <v>7</v>
      </c>
      <c r="C43" s="10" t="s">
        <v>26</v>
      </c>
      <c r="D43" s="10" t="s">
        <v>16</v>
      </c>
      <c r="E43" s="10" t="s">
        <v>21</v>
      </c>
      <c r="F43" s="10">
        <v>41</v>
      </c>
      <c r="G43" s="11">
        <v>3908</v>
      </c>
    </row>
    <row r="44" spans="1:7" x14ac:dyDescent="0.3">
      <c r="A44" s="6">
        <v>46077</v>
      </c>
      <c r="B44" s="7" t="s">
        <v>7</v>
      </c>
      <c r="C44" s="7" t="s">
        <v>28</v>
      </c>
      <c r="D44" s="7" t="s">
        <v>17</v>
      </c>
      <c r="E44" s="7" t="s">
        <v>23</v>
      </c>
      <c r="F44" s="7">
        <v>32</v>
      </c>
      <c r="G44" s="8">
        <v>3644</v>
      </c>
    </row>
    <row r="45" spans="1:7" x14ac:dyDescent="0.3">
      <c r="A45" s="9">
        <v>46090</v>
      </c>
      <c r="B45" s="10" t="s">
        <v>7</v>
      </c>
      <c r="C45" s="10" t="s">
        <v>28</v>
      </c>
      <c r="D45" s="10" t="s">
        <v>15</v>
      </c>
      <c r="E45" s="10" t="s">
        <v>19</v>
      </c>
      <c r="F45" s="10">
        <v>48</v>
      </c>
      <c r="G45" s="11">
        <v>4634</v>
      </c>
    </row>
    <row r="46" spans="1:7" x14ac:dyDescent="0.3">
      <c r="A46" s="6">
        <v>46097</v>
      </c>
      <c r="B46" s="7" t="s">
        <v>7</v>
      </c>
      <c r="C46" s="7" t="s">
        <v>27</v>
      </c>
      <c r="D46" s="7" t="s">
        <v>16</v>
      </c>
      <c r="E46" s="7" t="s">
        <v>21</v>
      </c>
      <c r="F46" s="7">
        <v>115</v>
      </c>
      <c r="G46" s="8">
        <v>4794</v>
      </c>
    </row>
    <row r="47" spans="1:7" x14ac:dyDescent="0.3">
      <c r="A47" s="9">
        <v>46098</v>
      </c>
      <c r="B47" s="10" t="s">
        <v>7</v>
      </c>
      <c r="C47" s="10" t="s">
        <v>14</v>
      </c>
      <c r="D47" s="10" t="s">
        <v>16</v>
      </c>
      <c r="E47" s="10" t="s">
        <v>23</v>
      </c>
      <c r="F47" s="10">
        <v>70</v>
      </c>
      <c r="G47" s="11">
        <v>4256</v>
      </c>
    </row>
    <row r="48" spans="1:7" x14ac:dyDescent="0.3">
      <c r="A48" s="6">
        <v>46104</v>
      </c>
      <c r="B48" s="7" t="s">
        <v>7</v>
      </c>
      <c r="C48" s="7" t="s">
        <v>27</v>
      </c>
      <c r="D48" s="7" t="s">
        <v>15</v>
      </c>
      <c r="E48" s="7" t="s">
        <v>20</v>
      </c>
      <c r="F48" s="7">
        <v>67</v>
      </c>
      <c r="G48" s="8">
        <v>4133</v>
      </c>
    </row>
    <row r="49" spans="1:7" x14ac:dyDescent="0.3">
      <c r="A49" s="9">
        <v>46110</v>
      </c>
      <c r="B49" s="10" t="s">
        <v>7</v>
      </c>
      <c r="C49" s="10" t="s">
        <v>14</v>
      </c>
      <c r="D49" s="10" t="s">
        <v>15</v>
      </c>
      <c r="E49" s="10" t="s">
        <v>22</v>
      </c>
      <c r="F49" s="10">
        <v>92</v>
      </c>
      <c r="G49" s="11">
        <v>2074</v>
      </c>
    </row>
    <row r="50" spans="1:7" x14ac:dyDescent="0.3">
      <c r="A50" s="6">
        <v>46118</v>
      </c>
      <c r="B50" s="7" t="s">
        <v>7</v>
      </c>
      <c r="C50" s="7" t="s">
        <v>28</v>
      </c>
      <c r="D50" s="7" t="s">
        <v>17</v>
      </c>
      <c r="E50" s="7" t="s">
        <v>21</v>
      </c>
      <c r="F50" s="7">
        <v>44</v>
      </c>
      <c r="G50" s="8">
        <v>1873</v>
      </c>
    </row>
    <row r="51" spans="1:7" x14ac:dyDescent="0.3">
      <c r="A51" s="9">
        <v>46123</v>
      </c>
      <c r="B51" s="10" t="s">
        <v>7</v>
      </c>
      <c r="C51" s="10" t="s">
        <v>28</v>
      </c>
      <c r="D51" s="10" t="s">
        <v>15</v>
      </c>
      <c r="E51" s="10" t="s">
        <v>21</v>
      </c>
      <c r="F51" s="10">
        <v>36</v>
      </c>
      <c r="G51" s="11">
        <v>3392</v>
      </c>
    </row>
    <row r="52" spans="1:7" x14ac:dyDescent="0.3">
      <c r="A52" s="6">
        <v>46126</v>
      </c>
      <c r="B52" s="7" t="s">
        <v>7</v>
      </c>
      <c r="C52" s="7" t="s">
        <v>26</v>
      </c>
      <c r="D52" s="7" t="s">
        <v>18</v>
      </c>
      <c r="E52" s="7" t="s">
        <v>21</v>
      </c>
      <c r="F52" s="7">
        <v>100</v>
      </c>
      <c r="G52" s="8">
        <v>2306</v>
      </c>
    </row>
    <row r="53" spans="1:7" x14ac:dyDescent="0.3">
      <c r="A53" s="9">
        <v>46132</v>
      </c>
      <c r="B53" s="10" t="s">
        <v>7</v>
      </c>
      <c r="C53" s="10" t="s">
        <v>14</v>
      </c>
      <c r="D53" s="10" t="s">
        <v>16</v>
      </c>
      <c r="E53" s="10" t="s">
        <v>24</v>
      </c>
      <c r="F53" s="10">
        <v>21</v>
      </c>
      <c r="G53" s="11">
        <v>3753</v>
      </c>
    </row>
    <row r="54" spans="1:7" x14ac:dyDescent="0.3">
      <c r="A54" s="6">
        <v>46135</v>
      </c>
      <c r="B54" s="7" t="s">
        <v>7</v>
      </c>
      <c r="C54" s="7" t="s">
        <v>12</v>
      </c>
      <c r="D54" s="7" t="s">
        <v>16</v>
      </c>
      <c r="E54" s="7" t="s">
        <v>20</v>
      </c>
      <c r="F54" s="7">
        <v>48</v>
      </c>
      <c r="G54" s="8">
        <v>3472</v>
      </c>
    </row>
    <row r="55" spans="1:7" x14ac:dyDescent="0.3">
      <c r="A55" s="9">
        <v>46137</v>
      </c>
      <c r="B55" s="10" t="s">
        <v>7</v>
      </c>
      <c r="C55" s="10" t="s">
        <v>26</v>
      </c>
      <c r="D55" s="10" t="s">
        <v>16</v>
      </c>
      <c r="E55" s="10" t="s">
        <v>20</v>
      </c>
      <c r="F55" s="10">
        <v>91</v>
      </c>
      <c r="G55" s="11">
        <v>3607</v>
      </c>
    </row>
    <row r="56" spans="1:7" x14ac:dyDescent="0.3">
      <c r="A56" s="6">
        <v>46156</v>
      </c>
      <c r="B56" s="7" t="s">
        <v>7</v>
      </c>
      <c r="C56" s="7" t="s">
        <v>26</v>
      </c>
      <c r="D56" s="7" t="s">
        <v>17</v>
      </c>
      <c r="E56" s="7" t="s">
        <v>24</v>
      </c>
      <c r="F56" s="7">
        <v>117</v>
      </c>
      <c r="G56" s="8">
        <v>1899</v>
      </c>
    </row>
    <row r="57" spans="1:7" x14ac:dyDescent="0.3">
      <c r="A57" s="9">
        <v>46160</v>
      </c>
      <c r="B57" s="10" t="s">
        <v>7</v>
      </c>
      <c r="C57" s="10" t="s">
        <v>26</v>
      </c>
      <c r="D57" s="10" t="s">
        <v>16</v>
      </c>
      <c r="E57" s="10" t="s">
        <v>21</v>
      </c>
      <c r="F57" s="10">
        <v>108</v>
      </c>
      <c r="G57" s="11">
        <v>2374</v>
      </c>
    </row>
    <row r="58" spans="1:7" x14ac:dyDescent="0.3">
      <c r="A58" s="6">
        <v>46173</v>
      </c>
      <c r="B58" s="7" t="s">
        <v>7</v>
      </c>
      <c r="C58" s="7" t="s">
        <v>12</v>
      </c>
      <c r="D58" s="7" t="s">
        <v>16</v>
      </c>
      <c r="E58" s="7" t="s">
        <v>20</v>
      </c>
      <c r="F58" s="7">
        <v>67</v>
      </c>
      <c r="G58" s="8">
        <v>2941</v>
      </c>
    </row>
    <row r="59" spans="1:7" x14ac:dyDescent="0.3">
      <c r="A59" s="9">
        <v>46176</v>
      </c>
      <c r="B59" s="10" t="s">
        <v>7</v>
      </c>
      <c r="C59" s="10" t="s">
        <v>13</v>
      </c>
      <c r="D59" s="10" t="s">
        <v>15</v>
      </c>
      <c r="E59" s="10" t="s">
        <v>20</v>
      </c>
      <c r="F59" s="10">
        <v>104</v>
      </c>
      <c r="G59" s="11">
        <v>3367</v>
      </c>
    </row>
    <row r="60" spans="1:7" x14ac:dyDescent="0.3">
      <c r="A60" s="6">
        <v>46178</v>
      </c>
      <c r="B60" s="7" t="s">
        <v>7</v>
      </c>
      <c r="C60" s="7" t="s">
        <v>13</v>
      </c>
      <c r="D60" s="7" t="s">
        <v>18</v>
      </c>
      <c r="E60" s="7" t="s">
        <v>20</v>
      </c>
      <c r="F60" s="7">
        <v>76</v>
      </c>
      <c r="G60" s="8">
        <v>3651</v>
      </c>
    </row>
    <row r="61" spans="1:7" x14ac:dyDescent="0.3">
      <c r="A61" s="9">
        <v>46182</v>
      </c>
      <c r="B61" s="10" t="s">
        <v>7</v>
      </c>
      <c r="C61" s="10" t="s">
        <v>28</v>
      </c>
      <c r="D61" s="10" t="s">
        <v>17</v>
      </c>
      <c r="E61" s="10" t="s">
        <v>23</v>
      </c>
      <c r="F61" s="10">
        <v>52</v>
      </c>
      <c r="G61" s="11">
        <v>4953</v>
      </c>
    </row>
    <row r="62" spans="1:7" x14ac:dyDescent="0.3">
      <c r="A62" s="6">
        <v>46186</v>
      </c>
      <c r="B62" s="7" t="s">
        <v>7</v>
      </c>
      <c r="C62" s="7" t="s">
        <v>12</v>
      </c>
      <c r="D62" s="7" t="s">
        <v>17</v>
      </c>
      <c r="E62" s="7" t="s">
        <v>21</v>
      </c>
      <c r="F62" s="7">
        <v>78</v>
      </c>
      <c r="G62" s="8">
        <v>2311</v>
      </c>
    </row>
    <row r="63" spans="1:7" x14ac:dyDescent="0.3">
      <c r="A63" s="9">
        <v>46194</v>
      </c>
      <c r="B63" s="10" t="s">
        <v>7</v>
      </c>
      <c r="C63" s="10" t="s">
        <v>26</v>
      </c>
      <c r="D63" s="10" t="s">
        <v>18</v>
      </c>
      <c r="E63" s="10" t="s">
        <v>20</v>
      </c>
      <c r="F63" s="10">
        <v>79</v>
      </c>
      <c r="G63" s="11">
        <v>1916</v>
      </c>
    </row>
    <row r="64" spans="1:7" x14ac:dyDescent="0.3">
      <c r="A64" s="6">
        <v>46023</v>
      </c>
      <c r="B64" s="7" t="s">
        <v>8</v>
      </c>
      <c r="C64" s="7" t="s">
        <v>26</v>
      </c>
      <c r="D64" s="7" t="s">
        <v>18</v>
      </c>
      <c r="E64" s="7" t="s">
        <v>23</v>
      </c>
      <c r="F64" s="7">
        <v>30</v>
      </c>
      <c r="G64" s="8">
        <v>1788</v>
      </c>
    </row>
    <row r="65" spans="1:7" x14ac:dyDescent="0.3">
      <c r="A65" s="9">
        <v>46024</v>
      </c>
      <c r="B65" s="10" t="s">
        <v>8</v>
      </c>
      <c r="C65" s="10" t="s">
        <v>12</v>
      </c>
      <c r="D65" s="10" t="s">
        <v>15</v>
      </c>
      <c r="E65" s="10" t="s">
        <v>19</v>
      </c>
      <c r="F65" s="10">
        <v>95</v>
      </c>
      <c r="G65" s="11">
        <v>2864</v>
      </c>
    </row>
    <row r="66" spans="1:7" x14ac:dyDescent="0.3">
      <c r="A66" s="6">
        <v>46036</v>
      </c>
      <c r="B66" s="7" t="s">
        <v>8</v>
      </c>
      <c r="C66" s="7" t="s">
        <v>14</v>
      </c>
      <c r="D66" s="7" t="s">
        <v>15</v>
      </c>
      <c r="E66" s="7" t="s">
        <v>19</v>
      </c>
      <c r="F66" s="7">
        <v>90</v>
      </c>
      <c r="G66" s="8">
        <v>4646</v>
      </c>
    </row>
    <row r="67" spans="1:7" x14ac:dyDescent="0.3">
      <c r="A67" s="9">
        <v>46040</v>
      </c>
      <c r="B67" s="10" t="s">
        <v>8</v>
      </c>
      <c r="C67" s="10" t="s">
        <v>28</v>
      </c>
      <c r="D67" s="10" t="s">
        <v>17</v>
      </c>
      <c r="E67" s="10" t="s">
        <v>19</v>
      </c>
      <c r="F67" s="10">
        <v>89</v>
      </c>
      <c r="G67" s="11">
        <v>4730</v>
      </c>
    </row>
    <row r="68" spans="1:7" x14ac:dyDescent="0.3">
      <c r="A68" s="6">
        <v>46043</v>
      </c>
      <c r="B68" s="7" t="s">
        <v>8</v>
      </c>
      <c r="C68" s="7" t="s">
        <v>14</v>
      </c>
      <c r="D68" s="7" t="s">
        <v>18</v>
      </c>
      <c r="E68" s="7" t="s">
        <v>20</v>
      </c>
      <c r="F68" s="7">
        <v>57</v>
      </c>
      <c r="G68" s="8">
        <v>2910</v>
      </c>
    </row>
    <row r="69" spans="1:7" x14ac:dyDescent="0.3">
      <c r="A69" s="9">
        <v>46064</v>
      </c>
      <c r="B69" s="10" t="s">
        <v>8</v>
      </c>
      <c r="C69" s="10" t="s">
        <v>13</v>
      </c>
      <c r="D69" s="10" t="s">
        <v>15</v>
      </c>
      <c r="E69" s="10" t="s">
        <v>22</v>
      </c>
      <c r="F69" s="10">
        <v>83</v>
      </c>
      <c r="G69" s="11">
        <v>1825</v>
      </c>
    </row>
    <row r="70" spans="1:7" x14ac:dyDescent="0.3">
      <c r="A70" s="6">
        <v>46068</v>
      </c>
      <c r="B70" s="7" t="s">
        <v>8</v>
      </c>
      <c r="C70" s="7" t="s">
        <v>26</v>
      </c>
      <c r="D70" s="7" t="s">
        <v>18</v>
      </c>
      <c r="E70" s="7" t="s">
        <v>20</v>
      </c>
      <c r="F70" s="7">
        <v>80</v>
      </c>
      <c r="G70" s="8">
        <v>3416</v>
      </c>
    </row>
    <row r="71" spans="1:7" x14ac:dyDescent="0.3">
      <c r="A71" s="9">
        <v>46076</v>
      </c>
      <c r="B71" s="10" t="s">
        <v>8</v>
      </c>
      <c r="C71" s="10" t="s">
        <v>27</v>
      </c>
      <c r="D71" s="10" t="s">
        <v>18</v>
      </c>
      <c r="E71" s="10" t="s">
        <v>22</v>
      </c>
      <c r="F71" s="10">
        <v>45</v>
      </c>
      <c r="G71" s="11">
        <v>2688</v>
      </c>
    </row>
    <row r="72" spans="1:7" x14ac:dyDescent="0.3">
      <c r="A72" s="6">
        <v>46079</v>
      </c>
      <c r="B72" s="7" t="s">
        <v>8</v>
      </c>
      <c r="C72" s="7" t="s">
        <v>28</v>
      </c>
      <c r="D72" s="7" t="s">
        <v>17</v>
      </c>
      <c r="E72" s="7" t="s">
        <v>24</v>
      </c>
      <c r="F72" s="7">
        <v>61</v>
      </c>
      <c r="G72" s="8">
        <v>2823</v>
      </c>
    </row>
    <row r="73" spans="1:7" x14ac:dyDescent="0.3">
      <c r="A73" s="9">
        <v>46082</v>
      </c>
      <c r="B73" s="10" t="s">
        <v>8</v>
      </c>
      <c r="C73" s="10" t="s">
        <v>12</v>
      </c>
      <c r="D73" s="10" t="s">
        <v>18</v>
      </c>
      <c r="E73" s="10" t="s">
        <v>19</v>
      </c>
      <c r="F73" s="10">
        <v>116</v>
      </c>
      <c r="G73" s="11">
        <v>4674</v>
      </c>
    </row>
    <row r="74" spans="1:7" x14ac:dyDescent="0.3">
      <c r="A74" s="6">
        <v>46085</v>
      </c>
      <c r="B74" s="7" t="s">
        <v>8</v>
      </c>
      <c r="C74" s="7" t="s">
        <v>12</v>
      </c>
      <c r="D74" s="7" t="s">
        <v>17</v>
      </c>
      <c r="E74" s="7" t="s">
        <v>19</v>
      </c>
      <c r="F74" s="7">
        <v>42</v>
      </c>
      <c r="G74" s="8">
        <v>2249</v>
      </c>
    </row>
    <row r="75" spans="1:7" x14ac:dyDescent="0.3">
      <c r="A75" s="9">
        <v>46089</v>
      </c>
      <c r="B75" s="10" t="s">
        <v>8</v>
      </c>
      <c r="C75" s="10" t="s">
        <v>27</v>
      </c>
      <c r="D75" s="10" t="s">
        <v>15</v>
      </c>
      <c r="E75" s="10" t="s">
        <v>20</v>
      </c>
      <c r="F75" s="10">
        <v>118</v>
      </c>
      <c r="G75" s="11">
        <v>3621</v>
      </c>
    </row>
    <row r="76" spans="1:7" x14ac:dyDescent="0.3">
      <c r="A76" s="6">
        <v>46096</v>
      </c>
      <c r="B76" s="7" t="s">
        <v>8</v>
      </c>
      <c r="C76" s="7" t="s">
        <v>27</v>
      </c>
      <c r="D76" s="7" t="s">
        <v>16</v>
      </c>
      <c r="E76" s="7" t="s">
        <v>19</v>
      </c>
      <c r="F76" s="7">
        <v>90</v>
      </c>
      <c r="G76" s="8">
        <v>1979</v>
      </c>
    </row>
    <row r="77" spans="1:7" x14ac:dyDescent="0.3">
      <c r="A77" s="9">
        <v>46114</v>
      </c>
      <c r="B77" s="10" t="s">
        <v>8</v>
      </c>
      <c r="C77" s="10" t="s">
        <v>27</v>
      </c>
      <c r="D77" s="10" t="s">
        <v>16</v>
      </c>
      <c r="E77" s="10" t="s">
        <v>24</v>
      </c>
      <c r="F77" s="10">
        <v>52</v>
      </c>
      <c r="G77" s="11">
        <v>4186</v>
      </c>
    </row>
    <row r="78" spans="1:7" x14ac:dyDescent="0.3">
      <c r="A78" s="6">
        <v>46127</v>
      </c>
      <c r="B78" s="7" t="s">
        <v>8</v>
      </c>
      <c r="C78" s="7" t="s">
        <v>28</v>
      </c>
      <c r="D78" s="7" t="s">
        <v>16</v>
      </c>
      <c r="E78" s="7" t="s">
        <v>19</v>
      </c>
      <c r="F78" s="7">
        <v>97</v>
      </c>
      <c r="G78" s="8">
        <v>4229</v>
      </c>
    </row>
    <row r="79" spans="1:7" x14ac:dyDescent="0.3">
      <c r="A79" s="9">
        <v>46139</v>
      </c>
      <c r="B79" s="10" t="s">
        <v>8</v>
      </c>
      <c r="C79" s="10" t="s">
        <v>28</v>
      </c>
      <c r="D79" s="10" t="s">
        <v>17</v>
      </c>
      <c r="E79" s="10" t="s">
        <v>22</v>
      </c>
      <c r="F79" s="10">
        <v>97</v>
      </c>
      <c r="G79" s="11">
        <v>2367</v>
      </c>
    </row>
    <row r="80" spans="1:7" x14ac:dyDescent="0.3">
      <c r="A80" s="6">
        <v>46140</v>
      </c>
      <c r="B80" s="7" t="s">
        <v>8</v>
      </c>
      <c r="C80" s="7" t="s">
        <v>12</v>
      </c>
      <c r="D80" s="7" t="s">
        <v>18</v>
      </c>
      <c r="E80" s="7" t="s">
        <v>21</v>
      </c>
      <c r="F80" s="7">
        <v>100</v>
      </c>
      <c r="G80" s="8">
        <v>4335</v>
      </c>
    </row>
    <row r="81" spans="1:7" x14ac:dyDescent="0.3">
      <c r="A81" s="9">
        <v>46152</v>
      </c>
      <c r="B81" s="10" t="s">
        <v>8</v>
      </c>
      <c r="C81" s="10" t="s">
        <v>28</v>
      </c>
      <c r="D81" s="10" t="s">
        <v>18</v>
      </c>
      <c r="E81" s="10" t="s">
        <v>22</v>
      </c>
      <c r="F81" s="10">
        <v>30</v>
      </c>
      <c r="G81" s="11">
        <v>5055</v>
      </c>
    </row>
    <row r="82" spans="1:7" x14ac:dyDescent="0.3">
      <c r="A82" s="6">
        <v>46166</v>
      </c>
      <c r="B82" s="7" t="s">
        <v>8</v>
      </c>
      <c r="C82" s="7" t="s">
        <v>28</v>
      </c>
      <c r="D82" s="7" t="s">
        <v>18</v>
      </c>
      <c r="E82" s="7" t="s">
        <v>24</v>
      </c>
      <c r="F82" s="7">
        <v>52</v>
      </c>
      <c r="G82" s="8">
        <v>3328</v>
      </c>
    </row>
    <row r="83" spans="1:7" x14ac:dyDescent="0.3">
      <c r="A83" s="9">
        <v>46171</v>
      </c>
      <c r="B83" s="10" t="s">
        <v>8</v>
      </c>
      <c r="C83" s="10" t="s">
        <v>14</v>
      </c>
      <c r="D83" s="10" t="s">
        <v>16</v>
      </c>
      <c r="E83" s="10" t="s">
        <v>20</v>
      </c>
      <c r="F83" s="10">
        <v>49</v>
      </c>
      <c r="G83" s="11">
        <v>4939</v>
      </c>
    </row>
    <row r="84" spans="1:7" x14ac:dyDescent="0.3">
      <c r="A84" s="6">
        <v>46174</v>
      </c>
      <c r="B84" s="7" t="s">
        <v>8</v>
      </c>
      <c r="C84" s="7" t="s">
        <v>27</v>
      </c>
      <c r="D84" s="7" t="s">
        <v>16</v>
      </c>
      <c r="E84" s="7" t="s">
        <v>21</v>
      </c>
      <c r="F84" s="7">
        <v>47</v>
      </c>
      <c r="G84" s="8">
        <v>4743</v>
      </c>
    </row>
    <row r="85" spans="1:7" x14ac:dyDescent="0.3">
      <c r="A85" s="9">
        <v>46179</v>
      </c>
      <c r="B85" s="10" t="s">
        <v>8</v>
      </c>
      <c r="C85" s="10" t="s">
        <v>28</v>
      </c>
      <c r="D85" s="10" t="s">
        <v>17</v>
      </c>
      <c r="E85" s="10" t="s">
        <v>21</v>
      </c>
      <c r="F85" s="10">
        <v>84</v>
      </c>
      <c r="G85" s="11">
        <v>4314</v>
      </c>
    </row>
    <row r="86" spans="1:7" x14ac:dyDescent="0.3">
      <c r="A86" s="6">
        <v>46187</v>
      </c>
      <c r="B86" s="7" t="s">
        <v>8</v>
      </c>
      <c r="C86" s="7" t="s">
        <v>28</v>
      </c>
      <c r="D86" s="7" t="s">
        <v>17</v>
      </c>
      <c r="E86" s="7" t="s">
        <v>23</v>
      </c>
      <c r="F86" s="7">
        <v>83</v>
      </c>
      <c r="G86" s="8">
        <v>3419</v>
      </c>
    </row>
    <row r="87" spans="1:7" x14ac:dyDescent="0.3">
      <c r="A87" s="9">
        <v>46193</v>
      </c>
      <c r="B87" s="10" t="s">
        <v>8</v>
      </c>
      <c r="C87" s="10" t="s">
        <v>26</v>
      </c>
      <c r="D87" s="10" t="s">
        <v>15</v>
      </c>
      <c r="E87" s="10" t="s">
        <v>19</v>
      </c>
      <c r="F87" s="10">
        <v>26</v>
      </c>
      <c r="G87" s="11">
        <v>4325</v>
      </c>
    </row>
    <row r="88" spans="1:7" x14ac:dyDescent="0.3">
      <c r="A88" s="6">
        <v>46195</v>
      </c>
      <c r="B88" s="7" t="s">
        <v>8</v>
      </c>
      <c r="C88" s="7" t="s">
        <v>28</v>
      </c>
      <c r="D88" s="7" t="s">
        <v>17</v>
      </c>
      <c r="E88" s="7" t="s">
        <v>22</v>
      </c>
      <c r="F88" s="7">
        <v>88</v>
      </c>
      <c r="G88" s="8">
        <v>4594</v>
      </c>
    </row>
    <row r="89" spans="1:7" x14ac:dyDescent="0.3">
      <c r="A89" s="9">
        <v>46025</v>
      </c>
      <c r="B89" s="10" t="s">
        <v>9</v>
      </c>
      <c r="C89" s="10" t="s">
        <v>27</v>
      </c>
      <c r="D89" s="10" t="s">
        <v>16</v>
      </c>
      <c r="E89" s="10" t="s">
        <v>19</v>
      </c>
      <c r="F89" s="10">
        <v>107</v>
      </c>
      <c r="G89" s="11">
        <v>3537</v>
      </c>
    </row>
    <row r="90" spans="1:7" x14ac:dyDescent="0.3">
      <c r="A90" s="6">
        <v>46031</v>
      </c>
      <c r="B90" s="7" t="s">
        <v>9</v>
      </c>
      <c r="C90" s="7" t="s">
        <v>28</v>
      </c>
      <c r="D90" s="7" t="s">
        <v>15</v>
      </c>
      <c r="E90" s="7" t="s">
        <v>24</v>
      </c>
      <c r="F90" s="7">
        <v>80</v>
      </c>
      <c r="G90" s="8">
        <v>2743</v>
      </c>
    </row>
    <row r="91" spans="1:7" x14ac:dyDescent="0.3">
      <c r="A91" s="9">
        <v>46039</v>
      </c>
      <c r="B91" s="10" t="s">
        <v>9</v>
      </c>
      <c r="C91" s="10" t="s">
        <v>12</v>
      </c>
      <c r="D91" s="10" t="s">
        <v>18</v>
      </c>
      <c r="E91" s="10" t="s">
        <v>21</v>
      </c>
      <c r="F91" s="10">
        <v>106</v>
      </c>
      <c r="G91" s="11">
        <v>4510</v>
      </c>
    </row>
    <row r="92" spans="1:7" x14ac:dyDescent="0.3">
      <c r="A92" s="6">
        <v>46050</v>
      </c>
      <c r="B92" s="7" t="s">
        <v>9</v>
      </c>
      <c r="C92" s="7" t="s">
        <v>12</v>
      </c>
      <c r="D92" s="7" t="s">
        <v>18</v>
      </c>
      <c r="E92" s="7" t="s">
        <v>21</v>
      </c>
      <c r="F92" s="7">
        <v>87</v>
      </c>
      <c r="G92" s="8">
        <v>2241</v>
      </c>
    </row>
    <row r="93" spans="1:7" x14ac:dyDescent="0.3">
      <c r="A93" s="9">
        <v>46051</v>
      </c>
      <c r="B93" s="10" t="s">
        <v>9</v>
      </c>
      <c r="C93" s="10" t="s">
        <v>26</v>
      </c>
      <c r="D93" s="10" t="s">
        <v>16</v>
      </c>
      <c r="E93" s="10" t="s">
        <v>20</v>
      </c>
      <c r="F93" s="10">
        <v>45</v>
      </c>
      <c r="G93" s="11">
        <v>4705</v>
      </c>
    </row>
    <row r="94" spans="1:7" x14ac:dyDescent="0.3">
      <c r="A94" s="6">
        <v>46054</v>
      </c>
      <c r="B94" s="7" t="s">
        <v>9</v>
      </c>
      <c r="C94" s="7" t="s">
        <v>14</v>
      </c>
      <c r="D94" s="7" t="s">
        <v>17</v>
      </c>
      <c r="E94" s="7" t="s">
        <v>23</v>
      </c>
      <c r="F94" s="7">
        <v>32</v>
      </c>
      <c r="G94" s="8">
        <v>4808</v>
      </c>
    </row>
    <row r="95" spans="1:7" x14ac:dyDescent="0.3">
      <c r="A95" s="9">
        <v>46065</v>
      </c>
      <c r="B95" s="10" t="s">
        <v>9</v>
      </c>
      <c r="C95" s="10" t="s">
        <v>13</v>
      </c>
      <c r="D95" s="10" t="s">
        <v>16</v>
      </c>
      <c r="E95" s="10" t="s">
        <v>24</v>
      </c>
      <c r="F95" s="10">
        <v>78</v>
      </c>
      <c r="G95" s="11">
        <v>4359</v>
      </c>
    </row>
    <row r="96" spans="1:7" x14ac:dyDescent="0.3">
      <c r="A96" s="6">
        <v>46069</v>
      </c>
      <c r="B96" s="7" t="s">
        <v>9</v>
      </c>
      <c r="C96" s="7" t="s">
        <v>12</v>
      </c>
      <c r="D96" s="7" t="s">
        <v>18</v>
      </c>
      <c r="E96" s="7" t="s">
        <v>24</v>
      </c>
      <c r="F96" s="7">
        <v>96</v>
      </c>
      <c r="G96" s="8">
        <v>2860</v>
      </c>
    </row>
    <row r="97" spans="1:7" x14ac:dyDescent="0.3">
      <c r="A97" s="9">
        <v>46075</v>
      </c>
      <c r="B97" s="10" t="s">
        <v>9</v>
      </c>
      <c r="C97" s="10" t="s">
        <v>26</v>
      </c>
      <c r="D97" s="10" t="s">
        <v>17</v>
      </c>
      <c r="E97" s="10" t="s">
        <v>19</v>
      </c>
      <c r="F97" s="10">
        <v>84</v>
      </c>
      <c r="G97" s="11">
        <v>3693</v>
      </c>
    </row>
    <row r="98" spans="1:7" x14ac:dyDescent="0.3">
      <c r="A98" s="6">
        <v>46081</v>
      </c>
      <c r="B98" s="7" t="s">
        <v>9</v>
      </c>
      <c r="C98" s="7" t="s">
        <v>27</v>
      </c>
      <c r="D98" s="7" t="s">
        <v>16</v>
      </c>
      <c r="E98" s="7" t="s">
        <v>21</v>
      </c>
      <c r="F98" s="7">
        <v>80</v>
      </c>
      <c r="G98" s="8">
        <v>1973</v>
      </c>
    </row>
    <row r="99" spans="1:7" x14ac:dyDescent="0.3">
      <c r="A99" s="9">
        <v>46087</v>
      </c>
      <c r="B99" s="10" t="s">
        <v>9</v>
      </c>
      <c r="C99" s="10" t="s">
        <v>26</v>
      </c>
      <c r="D99" s="10" t="s">
        <v>15</v>
      </c>
      <c r="E99" s="10" t="s">
        <v>21</v>
      </c>
      <c r="F99" s="10">
        <v>21</v>
      </c>
      <c r="G99" s="11">
        <v>4863</v>
      </c>
    </row>
    <row r="100" spans="1:7" x14ac:dyDescent="0.3">
      <c r="A100" s="6">
        <v>46091</v>
      </c>
      <c r="B100" s="7" t="s">
        <v>9</v>
      </c>
      <c r="C100" s="7" t="s">
        <v>27</v>
      </c>
      <c r="D100" s="7" t="s">
        <v>18</v>
      </c>
      <c r="E100" s="7" t="s">
        <v>22</v>
      </c>
      <c r="F100" s="7">
        <v>26</v>
      </c>
      <c r="G100" s="8">
        <v>4645</v>
      </c>
    </row>
    <row r="101" spans="1:7" x14ac:dyDescent="0.3">
      <c r="A101" s="9">
        <v>46093</v>
      </c>
      <c r="B101" s="10" t="s">
        <v>9</v>
      </c>
      <c r="C101" s="10" t="s">
        <v>27</v>
      </c>
      <c r="D101" s="10" t="s">
        <v>18</v>
      </c>
      <c r="E101" s="10" t="s">
        <v>19</v>
      </c>
      <c r="F101" s="10">
        <v>23</v>
      </c>
      <c r="G101" s="11">
        <v>4234</v>
      </c>
    </row>
    <row r="102" spans="1:7" x14ac:dyDescent="0.3">
      <c r="A102" s="6">
        <v>46094</v>
      </c>
      <c r="B102" s="7" t="s">
        <v>9</v>
      </c>
      <c r="C102" s="7" t="s">
        <v>13</v>
      </c>
      <c r="D102" s="7" t="s">
        <v>16</v>
      </c>
      <c r="E102" s="7" t="s">
        <v>21</v>
      </c>
      <c r="F102" s="7">
        <v>104</v>
      </c>
      <c r="G102" s="8">
        <v>4918</v>
      </c>
    </row>
    <row r="103" spans="1:7" x14ac:dyDescent="0.3">
      <c r="A103" s="9">
        <v>46103</v>
      </c>
      <c r="B103" s="10" t="s">
        <v>9</v>
      </c>
      <c r="C103" s="10" t="s">
        <v>12</v>
      </c>
      <c r="D103" s="10" t="s">
        <v>17</v>
      </c>
      <c r="E103" s="10" t="s">
        <v>23</v>
      </c>
      <c r="F103" s="10">
        <v>37</v>
      </c>
      <c r="G103" s="11">
        <v>1842</v>
      </c>
    </row>
    <row r="104" spans="1:7" x14ac:dyDescent="0.3">
      <c r="A104" s="6">
        <v>46106</v>
      </c>
      <c r="B104" s="7" t="s">
        <v>9</v>
      </c>
      <c r="C104" s="7" t="s">
        <v>13</v>
      </c>
      <c r="D104" s="7" t="s">
        <v>15</v>
      </c>
      <c r="E104" s="7" t="s">
        <v>19</v>
      </c>
      <c r="F104" s="7">
        <v>82</v>
      </c>
      <c r="G104" s="8">
        <v>1835</v>
      </c>
    </row>
    <row r="105" spans="1:7" x14ac:dyDescent="0.3">
      <c r="A105" s="9">
        <v>46115</v>
      </c>
      <c r="B105" s="10" t="s">
        <v>9</v>
      </c>
      <c r="C105" s="10" t="s">
        <v>27</v>
      </c>
      <c r="D105" s="10" t="s">
        <v>16</v>
      </c>
      <c r="E105" s="10" t="s">
        <v>22</v>
      </c>
      <c r="F105" s="10">
        <v>58</v>
      </c>
      <c r="G105" s="11">
        <v>4039</v>
      </c>
    </row>
    <row r="106" spans="1:7" x14ac:dyDescent="0.3">
      <c r="A106" s="6">
        <v>46119</v>
      </c>
      <c r="B106" s="7" t="s">
        <v>9</v>
      </c>
      <c r="C106" s="7" t="s">
        <v>12</v>
      </c>
      <c r="D106" s="7" t="s">
        <v>15</v>
      </c>
      <c r="E106" s="7" t="s">
        <v>21</v>
      </c>
      <c r="F106" s="7">
        <v>109</v>
      </c>
      <c r="G106" s="8">
        <v>4375</v>
      </c>
    </row>
    <row r="107" spans="1:7" x14ac:dyDescent="0.3">
      <c r="A107" s="9">
        <v>46130</v>
      </c>
      <c r="B107" s="10" t="s">
        <v>9</v>
      </c>
      <c r="C107" s="10" t="s">
        <v>28</v>
      </c>
      <c r="D107" s="10" t="s">
        <v>17</v>
      </c>
      <c r="E107" s="10" t="s">
        <v>22</v>
      </c>
      <c r="F107" s="10">
        <v>63</v>
      </c>
      <c r="G107" s="11">
        <v>4809</v>
      </c>
    </row>
    <row r="108" spans="1:7" x14ac:dyDescent="0.3">
      <c r="A108" s="6">
        <v>46141</v>
      </c>
      <c r="B108" s="7" t="s">
        <v>9</v>
      </c>
      <c r="C108" s="7" t="s">
        <v>27</v>
      </c>
      <c r="D108" s="7" t="s">
        <v>15</v>
      </c>
      <c r="E108" s="7" t="s">
        <v>24</v>
      </c>
      <c r="F108" s="7">
        <v>100</v>
      </c>
      <c r="G108" s="8">
        <v>3361</v>
      </c>
    </row>
    <row r="109" spans="1:7" x14ac:dyDescent="0.3">
      <c r="A109" s="9">
        <v>46154</v>
      </c>
      <c r="B109" s="10" t="s">
        <v>9</v>
      </c>
      <c r="C109" s="10" t="s">
        <v>12</v>
      </c>
      <c r="D109" s="10" t="s">
        <v>18</v>
      </c>
      <c r="E109" s="10" t="s">
        <v>20</v>
      </c>
      <c r="F109" s="10">
        <v>103</v>
      </c>
      <c r="G109" s="11">
        <v>4194</v>
      </c>
    </row>
    <row r="110" spans="1:7" x14ac:dyDescent="0.3">
      <c r="A110" s="6">
        <v>46158</v>
      </c>
      <c r="B110" s="7" t="s">
        <v>9</v>
      </c>
      <c r="C110" s="7" t="s">
        <v>28</v>
      </c>
      <c r="D110" s="7" t="s">
        <v>17</v>
      </c>
      <c r="E110" s="7" t="s">
        <v>19</v>
      </c>
      <c r="F110" s="7">
        <v>40</v>
      </c>
      <c r="G110" s="8">
        <v>3846</v>
      </c>
    </row>
    <row r="111" spans="1:7" x14ac:dyDescent="0.3">
      <c r="A111" s="9">
        <v>46162</v>
      </c>
      <c r="B111" s="10" t="s">
        <v>9</v>
      </c>
      <c r="C111" s="10" t="s">
        <v>12</v>
      </c>
      <c r="D111" s="10" t="s">
        <v>16</v>
      </c>
      <c r="E111" s="10" t="s">
        <v>21</v>
      </c>
      <c r="F111" s="10">
        <v>38</v>
      </c>
      <c r="G111" s="11">
        <v>2183</v>
      </c>
    </row>
    <row r="112" spans="1:7" x14ac:dyDescent="0.3">
      <c r="A112" s="6">
        <v>46163</v>
      </c>
      <c r="B112" s="7" t="s">
        <v>9</v>
      </c>
      <c r="C112" s="7" t="s">
        <v>28</v>
      </c>
      <c r="D112" s="7" t="s">
        <v>15</v>
      </c>
      <c r="E112" s="7" t="s">
        <v>22</v>
      </c>
      <c r="F112" s="7">
        <v>22</v>
      </c>
      <c r="G112" s="8">
        <v>3215</v>
      </c>
    </row>
    <row r="113" spans="1:7" x14ac:dyDescent="0.3">
      <c r="A113" s="9">
        <v>46164</v>
      </c>
      <c r="B113" s="10" t="s">
        <v>9</v>
      </c>
      <c r="C113" s="10" t="s">
        <v>27</v>
      </c>
      <c r="D113" s="10" t="s">
        <v>16</v>
      </c>
      <c r="E113" s="10" t="s">
        <v>20</v>
      </c>
      <c r="F113" s="10">
        <v>50</v>
      </c>
      <c r="G113" s="11">
        <v>3591</v>
      </c>
    </row>
    <row r="114" spans="1:7" x14ac:dyDescent="0.3">
      <c r="A114" s="6">
        <v>46167</v>
      </c>
      <c r="B114" s="7" t="s">
        <v>9</v>
      </c>
      <c r="C114" s="7" t="s">
        <v>12</v>
      </c>
      <c r="D114" s="7" t="s">
        <v>16</v>
      </c>
      <c r="E114" s="7" t="s">
        <v>19</v>
      </c>
      <c r="F114" s="7">
        <v>112</v>
      </c>
      <c r="G114" s="8">
        <v>3871</v>
      </c>
    </row>
    <row r="115" spans="1:7" x14ac:dyDescent="0.3">
      <c r="A115" s="9">
        <v>46177</v>
      </c>
      <c r="B115" s="10" t="s">
        <v>9</v>
      </c>
      <c r="C115" s="10" t="s">
        <v>28</v>
      </c>
      <c r="D115" s="10" t="s">
        <v>15</v>
      </c>
      <c r="E115" s="10" t="s">
        <v>20</v>
      </c>
      <c r="F115" s="10">
        <v>37</v>
      </c>
      <c r="G115" s="11">
        <v>1963</v>
      </c>
    </row>
    <row r="116" spans="1:7" x14ac:dyDescent="0.3">
      <c r="A116" s="6">
        <v>46180</v>
      </c>
      <c r="B116" s="7" t="s">
        <v>9</v>
      </c>
      <c r="C116" s="7" t="s">
        <v>26</v>
      </c>
      <c r="D116" s="7" t="s">
        <v>17</v>
      </c>
      <c r="E116" s="7" t="s">
        <v>24</v>
      </c>
      <c r="F116" s="7">
        <v>59</v>
      </c>
      <c r="G116" s="8">
        <v>2363</v>
      </c>
    </row>
    <row r="117" spans="1:7" x14ac:dyDescent="0.3">
      <c r="A117" s="9">
        <v>46181</v>
      </c>
      <c r="B117" s="10" t="s">
        <v>9</v>
      </c>
      <c r="C117" s="10" t="s">
        <v>14</v>
      </c>
      <c r="D117" s="10" t="s">
        <v>18</v>
      </c>
      <c r="E117" s="10" t="s">
        <v>21</v>
      </c>
      <c r="F117" s="10">
        <v>79</v>
      </c>
      <c r="G117" s="11">
        <v>4612</v>
      </c>
    </row>
    <row r="118" spans="1:7" x14ac:dyDescent="0.3">
      <c r="A118" s="6">
        <v>46196</v>
      </c>
      <c r="B118" s="7" t="s">
        <v>9</v>
      </c>
      <c r="C118" s="7" t="s">
        <v>28</v>
      </c>
      <c r="D118" s="7" t="s">
        <v>16</v>
      </c>
      <c r="E118" s="7" t="s">
        <v>23</v>
      </c>
      <c r="F118" s="7">
        <v>104</v>
      </c>
      <c r="G118" s="8">
        <v>3436</v>
      </c>
    </row>
    <row r="119" spans="1:7" x14ac:dyDescent="0.3">
      <c r="A119" s="9">
        <v>46202</v>
      </c>
      <c r="B119" s="10" t="s">
        <v>9</v>
      </c>
      <c r="C119" s="10" t="s">
        <v>28</v>
      </c>
      <c r="D119" s="10" t="s">
        <v>16</v>
      </c>
      <c r="E119" s="10" t="s">
        <v>20</v>
      </c>
      <c r="F119" s="10">
        <v>94</v>
      </c>
      <c r="G119" s="11">
        <v>1716</v>
      </c>
    </row>
    <row r="120" spans="1:7" x14ac:dyDescent="0.3">
      <c r="A120" s="6">
        <v>46029</v>
      </c>
      <c r="B120" s="7" t="s">
        <v>10</v>
      </c>
      <c r="C120" s="7" t="s">
        <v>12</v>
      </c>
      <c r="D120" s="7" t="s">
        <v>18</v>
      </c>
      <c r="E120" s="7" t="s">
        <v>20</v>
      </c>
      <c r="F120" s="7">
        <v>81</v>
      </c>
      <c r="G120" s="8">
        <v>3634</v>
      </c>
    </row>
    <row r="121" spans="1:7" x14ac:dyDescent="0.3">
      <c r="A121" s="9">
        <v>46032</v>
      </c>
      <c r="B121" s="10" t="s">
        <v>10</v>
      </c>
      <c r="C121" s="10" t="s">
        <v>14</v>
      </c>
      <c r="D121" s="10" t="s">
        <v>16</v>
      </c>
      <c r="E121" s="10" t="s">
        <v>23</v>
      </c>
      <c r="F121" s="10">
        <v>74</v>
      </c>
      <c r="G121" s="11">
        <v>2246</v>
      </c>
    </row>
    <row r="122" spans="1:7" x14ac:dyDescent="0.3">
      <c r="A122" s="6">
        <v>46035</v>
      </c>
      <c r="B122" s="7" t="s">
        <v>10</v>
      </c>
      <c r="C122" s="7" t="s">
        <v>26</v>
      </c>
      <c r="D122" s="7" t="s">
        <v>15</v>
      </c>
      <c r="E122" s="7" t="s">
        <v>23</v>
      </c>
      <c r="F122" s="7">
        <v>87</v>
      </c>
      <c r="G122" s="8">
        <v>4925</v>
      </c>
    </row>
    <row r="123" spans="1:7" x14ac:dyDescent="0.3">
      <c r="A123" s="9">
        <v>46041</v>
      </c>
      <c r="B123" s="10" t="s">
        <v>10</v>
      </c>
      <c r="C123" s="10" t="s">
        <v>27</v>
      </c>
      <c r="D123" s="10" t="s">
        <v>17</v>
      </c>
      <c r="E123" s="10" t="s">
        <v>23</v>
      </c>
      <c r="F123" s="10">
        <v>90</v>
      </c>
      <c r="G123" s="11">
        <v>2970</v>
      </c>
    </row>
    <row r="124" spans="1:7" x14ac:dyDescent="0.3">
      <c r="A124" s="6">
        <v>46053</v>
      </c>
      <c r="B124" s="7" t="s">
        <v>10</v>
      </c>
      <c r="C124" s="7" t="s">
        <v>27</v>
      </c>
      <c r="D124" s="7" t="s">
        <v>16</v>
      </c>
      <c r="E124" s="7" t="s">
        <v>23</v>
      </c>
      <c r="F124" s="7">
        <v>102</v>
      </c>
      <c r="G124" s="8">
        <v>3949</v>
      </c>
    </row>
    <row r="125" spans="1:7" x14ac:dyDescent="0.3">
      <c r="A125" s="9">
        <v>46067</v>
      </c>
      <c r="B125" s="10" t="s">
        <v>10</v>
      </c>
      <c r="C125" s="10" t="s">
        <v>14</v>
      </c>
      <c r="D125" s="10" t="s">
        <v>15</v>
      </c>
      <c r="E125" s="10" t="s">
        <v>24</v>
      </c>
      <c r="F125" s="10">
        <v>60</v>
      </c>
      <c r="G125" s="11">
        <v>3547</v>
      </c>
    </row>
    <row r="126" spans="1:7" x14ac:dyDescent="0.3">
      <c r="A126" s="6">
        <v>46072</v>
      </c>
      <c r="B126" s="7" t="s">
        <v>10</v>
      </c>
      <c r="C126" s="7" t="s">
        <v>12</v>
      </c>
      <c r="D126" s="7" t="s">
        <v>16</v>
      </c>
      <c r="E126" s="7" t="s">
        <v>23</v>
      </c>
      <c r="F126" s="7">
        <v>56</v>
      </c>
      <c r="G126" s="8">
        <v>4289</v>
      </c>
    </row>
    <row r="127" spans="1:7" x14ac:dyDescent="0.3">
      <c r="A127" s="9">
        <v>46073</v>
      </c>
      <c r="B127" s="10" t="s">
        <v>10</v>
      </c>
      <c r="C127" s="10" t="s">
        <v>14</v>
      </c>
      <c r="D127" s="10" t="s">
        <v>18</v>
      </c>
      <c r="E127" s="10" t="s">
        <v>19</v>
      </c>
      <c r="F127" s="10">
        <v>35</v>
      </c>
      <c r="G127" s="11">
        <v>3391</v>
      </c>
    </row>
    <row r="128" spans="1:7" x14ac:dyDescent="0.3">
      <c r="A128" s="6">
        <v>46084</v>
      </c>
      <c r="B128" s="7" t="s">
        <v>10</v>
      </c>
      <c r="C128" s="7" t="s">
        <v>13</v>
      </c>
      <c r="D128" s="7" t="s">
        <v>18</v>
      </c>
      <c r="E128" s="7" t="s">
        <v>20</v>
      </c>
      <c r="F128" s="7">
        <v>67</v>
      </c>
      <c r="G128" s="8">
        <v>4305</v>
      </c>
    </row>
    <row r="129" spans="1:7" x14ac:dyDescent="0.3">
      <c r="A129" s="9">
        <v>46105</v>
      </c>
      <c r="B129" s="10" t="s">
        <v>10</v>
      </c>
      <c r="C129" s="10" t="s">
        <v>26</v>
      </c>
      <c r="D129" s="10" t="s">
        <v>16</v>
      </c>
      <c r="E129" s="10" t="s">
        <v>23</v>
      </c>
      <c r="F129" s="10">
        <v>84</v>
      </c>
      <c r="G129" s="11">
        <v>2965</v>
      </c>
    </row>
    <row r="130" spans="1:7" x14ac:dyDescent="0.3">
      <c r="A130" s="6">
        <v>46107</v>
      </c>
      <c r="B130" s="7" t="s">
        <v>10</v>
      </c>
      <c r="C130" s="7" t="s">
        <v>28</v>
      </c>
      <c r="D130" s="7" t="s">
        <v>16</v>
      </c>
      <c r="E130" s="7" t="s">
        <v>21</v>
      </c>
      <c r="F130" s="7">
        <v>26</v>
      </c>
      <c r="G130" s="8">
        <v>4793</v>
      </c>
    </row>
    <row r="131" spans="1:7" x14ac:dyDescent="0.3">
      <c r="A131" s="9">
        <v>46109</v>
      </c>
      <c r="B131" s="10" t="s">
        <v>10</v>
      </c>
      <c r="C131" s="10" t="s">
        <v>13</v>
      </c>
      <c r="D131" s="10" t="s">
        <v>16</v>
      </c>
      <c r="E131" s="10" t="s">
        <v>21</v>
      </c>
      <c r="F131" s="10">
        <v>65</v>
      </c>
      <c r="G131" s="11">
        <v>2910</v>
      </c>
    </row>
    <row r="132" spans="1:7" x14ac:dyDescent="0.3">
      <c r="A132" s="6">
        <v>46112</v>
      </c>
      <c r="B132" s="7" t="s">
        <v>10</v>
      </c>
      <c r="C132" s="7" t="s">
        <v>27</v>
      </c>
      <c r="D132" s="7" t="s">
        <v>15</v>
      </c>
      <c r="E132" s="7" t="s">
        <v>20</v>
      </c>
      <c r="F132" s="7">
        <v>85</v>
      </c>
      <c r="G132" s="8">
        <v>4037</v>
      </c>
    </row>
    <row r="133" spans="1:7" x14ac:dyDescent="0.3">
      <c r="A133" s="9">
        <v>46113</v>
      </c>
      <c r="B133" s="10" t="s">
        <v>10</v>
      </c>
      <c r="C133" s="10" t="s">
        <v>26</v>
      </c>
      <c r="D133" s="10" t="s">
        <v>16</v>
      </c>
      <c r="E133" s="10" t="s">
        <v>22</v>
      </c>
      <c r="F133" s="10">
        <v>113</v>
      </c>
      <c r="G133" s="11">
        <v>4960</v>
      </c>
    </row>
    <row r="134" spans="1:7" x14ac:dyDescent="0.3">
      <c r="A134" s="6">
        <v>46117</v>
      </c>
      <c r="B134" s="7" t="s">
        <v>10</v>
      </c>
      <c r="C134" s="7" t="s">
        <v>14</v>
      </c>
      <c r="D134" s="7" t="s">
        <v>18</v>
      </c>
      <c r="E134" s="7" t="s">
        <v>23</v>
      </c>
      <c r="F134" s="7">
        <v>101</v>
      </c>
      <c r="G134" s="8">
        <v>4763</v>
      </c>
    </row>
    <row r="135" spans="1:7" x14ac:dyDescent="0.3">
      <c r="A135" s="9">
        <v>46122</v>
      </c>
      <c r="B135" s="10" t="s">
        <v>10</v>
      </c>
      <c r="C135" s="10" t="s">
        <v>26</v>
      </c>
      <c r="D135" s="10" t="s">
        <v>16</v>
      </c>
      <c r="E135" s="10" t="s">
        <v>24</v>
      </c>
      <c r="F135" s="10">
        <v>105</v>
      </c>
      <c r="G135" s="11">
        <v>4162</v>
      </c>
    </row>
    <row r="136" spans="1:7" x14ac:dyDescent="0.3">
      <c r="A136" s="6">
        <v>46131</v>
      </c>
      <c r="B136" s="7" t="s">
        <v>10</v>
      </c>
      <c r="C136" s="7" t="s">
        <v>13</v>
      </c>
      <c r="D136" s="7" t="s">
        <v>18</v>
      </c>
      <c r="E136" s="7" t="s">
        <v>22</v>
      </c>
      <c r="F136" s="7">
        <v>61</v>
      </c>
      <c r="G136" s="8">
        <v>2974</v>
      </c>
    </row>
    <row r="137" spans="1:7" x14ac:dyDescent="0.3">
      <c r="A137" s="9">
        <v>46133</v>
      </c>
      <c r="B137" s="10" t="s">
        <v>10</v>
      </c>
      <c r="C137" s="10" t="s">
        <v>12</v>
      </c>
      <c r="D137" s="10" t="s">
        <v>18</v>
      </c>
      <c r="E137" s="10" t="s">
        <v>20</v>
      </c>
      <c r="F137" s="10">
        <v>28</v>
      </c>
      <c r="G137" s="11">
        <v>3189</v>
      </c>
    </row>
    <row r="138" spans="1:7" x14ac:dyDescent="0.3">
      <c r="A138" s="6">
        <v>46134</v>
      </c>
      <c r="B138" s="7" t="s">
        <v>10</v>
      </c>
      <c r="C138" s="7" t="s">
        <v>14</v>
      </c>
      <c r="D138" s="7" t="s">
        <v>16</v>
      </c>
      <c r="E138" s="7" t="s">
        <v>23</v>
      </c>
      <c r="F138" s="7">
        <v>116</v>
      </c>
      <c r="G138" s="8">
        <v>2128</v>
      </c>
    </row>
    <row r="139" spans="1:7" x14ac:dyDescent="0.3">
      <c r="A139" s="9">
        <v>46142</v>
      </c>
      <c r="B139" s="10" t="s">
        <v>10</v>
      </c>
      <c r="C139" s="10" t="s">
        <v>28</v>
      </c>
      <c r="D139" s="10" t="s">
        <v>15</v>
      </c>
      <c r="E139" s="10" t="s">
        <v>23</v>
      </c>
      <c r="F139" s="10">
        <v>52</v>
      </c>
      <c r="G139" s="11">
        <v>4247</v>
      </c>
    </row>
    <row r="140" spans="1:7" x14ac:dyDescent="0.3">
      <c r="A140" s="6">
        <v>46145</v>
      </c>
      <c r="B140" s="7" t="s">
        <v>10</v>
      </c>
      <c r="C140" s="7" t="s">
        <v>12</v>
      </c>
      <c r="D140" s="7" t="s">
        <v>16</v>
      </c>
      <c r="E140" s="7" t="s">
        <v>19</v>
      </c>
      <c r="F140" s="7">
        <v>49</v>
      </c>
      <c r="G140" s="8">
        <v>2402</v>
      </c>
    </row>
    <row r="141" spans="1:7" x14ac:dyDescent="0.3">
      <c r="A141" s="9">
        <v>46146</v>
      </c>
      <c r="B141" s="10" t="s">
        <v>10</v>
      </c>
      <c r="C141" s="10" t="s">
        <v>13</v>
      </c>
      <c r="D141" s="10" t="s">
        <v>15</v>
      </c>
      <c r="E141" s="10" t="s">
        <v>22</v>
      </c>
      <c r="F141" s="10">
        <v>67</v>
      </c>
      <c r="G141" s="11">
        <v>4867</v>
      </c>
    </row>
    <row r="142" spans="1:7" x14ac:dyDescent="0.3">
      <c r="A142" s="6">
        <v>46150</v>
      </c>
      <c r="B142" s="7" t="s">
        <v>10</v>
      </c>
      <c r="C142" s="7" t="s">
        <v>27</v>
      </c>
      <c r="D142" s="7" t="s">
        <v>15</v>
      </c>
      <c r="E142" s="7" t="s">
        <v>23</v>
      </c>
      <c r="F142" s="7">
        <v>61</v>
      </c>
      <c r="G142" s="8">
        <v>4892</v>
      </c>
    </row>
    <row r="143" spans="1:7" x14ac:dyDescent="0.3">
      <c r="A143" s="9">
        <v>46151</v>
      </c>
      <c r="B143" s="10" t="s">
        <v>10</v>
      </c>
      <c r="C143" s="10" t="s">
        <v>27</v>
      </c>
      <c r="D143" s="10" t="s">
        <v>15</v>
      </c>
      <c r="E143" s="10" t="s">
        <v>22</v>
      </c>
      <c r="F143" s="10">
        <v>29</v>
      </c>
      <c r="G143" s="11">
        <v>2568</v>
      </c>
    </row>
    <row r="144" spans="1:7" x14ac:dyDescent="0.3">
      <c r="A144" s="6">
        <v>46157</v>
      </c>
      <c r="B144" s="7" t="s">
        <v>10</v>
      </c>
      <c r="C144" s="7" t="s">
        <v>28</v>
      </c>
      <c r="D144" s="7" t="s">
        <v>17</v>
      </c>
      <c r="E144" s="7" t="s">
        <v>22</v>
      </c>
      <c r="F144" s="7">
        <v>51</v>
      </c>
      <c r="G144" s="8">
        <v>4858</v>
      </c>
    </row>
    <row r="145" spans="1:7" x14ac:dyDescent="0.3">
      <c r="A145" s="9">
        <v>46161</v>
      </c>
      <c r="B145" s="10" t="s">
        <v>10</v>
      </c>
      <c r="C145" s="10" t="s">
        <v>28</v>
      </c>
      <c r="D145" s="10" t="s">
        <v>15</v>
      </c>
      <c r="E145" s="10" t="s">
        <v>23</v>
      </c>
      <c r="F145" s="10">
        <v>66</v>
      </c>
      <c r="G145" s="11">
        <v>2524</v>
      </c>
    </row>
    <row r="146" spans="1:7" x14ac:dyDescent="0.3">
      <c r="A146" s="6">
        <v>46165</v>
      </c>
      <c r="B146" s="7" t="s">
        <v>10</v>
      </c>
      <c r="C146" s="7" t="s">
        <v>28</v>
      </c>
      <c r="D146" s="7" t="s">
        <v>16</v>
      </c>
      <c r="E146" s="7" t="s">
        <v>21</v>
      </c>
      <c r="F146" s="7">
        <v>118</v>
      </c>
      <c r="G146" s="8">
        <v>3241</v>
      </c>
    </row>
    <row r="147" spans="1:7" x14ac:dyDescent="0.3">
      <c r="A147" s="9">
        <v>46168</v>
      </c>
      <c r="B147" s="10" t="s">
        <v>10</v>
      </c>
      <c r="C147" s="10" t="s">
        <v>13</v>
      </c>
      <c r="D147" s="10" t="s">
        <v>15</v>
      </c>
      <c r="E147" s="10" t="s">
        <v>24</v>
      </c>
      <c r="F147" s="10">
        <v>78</v>
      </c>
      <c r="G147" s="11">
        <v>2724</v>
      </c>
    </row>
    <row r="148" spans="1:7" x14ac:dyDescent="0.3">
      <c r="A148" s="6">
        <v>46175</v>
      </c>
      <c r="B148" s="7" t="s">
        <v>10</v>
      </c>
      <c r="C148" s="7" t="s">
        <v>12</v>
      </c>
      <c r="D148" s="7" t="s">
        <v>15</v>
      </c>
      <c r="E148" s="7" t="s">
        <v>24</v>
      </c>
      <c r="F148" s="7">
        <v>109</v>
      </c>
      <c r="G148" s="8">
        <v>2160</v>
      </c>
    </row>
    <row r="149" spans="1:7" x14ac:dyDescent="0.3">
      <c r="A149" s="9">
        <v>46185</v>
      </c>
      <c r="B149" s="10" t="s">
        <v>10</v>
      </c>
      <c r="C149" s="10" t="s">
        <v>14</v>
      </c>
      <c r="D149" s="10" t="s">
        <v>17</v>
      </c>
      <c r="E149" s="10" t="s">
        <v>23</v>
      </c>
      <c r="F149" s="10">
        <v>34</v>
      </c>
      <c r="G149" s="11">
        <v>2254</v>
      </c>
    </row>
    <row r="150" spans="1:7" x14ac:dyDescent="0.3">
      <c r="A150" s="6">
        <v>46189</v>
      </c>
      <c r="B150" s="7" t="s">
        <v>10</v>
      </c>
      <c r="C150" s="7" t="s">
        <v>12</v>
      </c>
      <c r="D150" s="7" t="s">
        <v>17</v>
      </c>
      <c r="E150" s="7" t="s">
        <v>19</v>
      </c>
      <c r="F150" s="7">
        <v>50</v>
      </c>
      <c r="G150" s="8">
        <v>1960</v>
      </c>
    </row>
    <row r="151" spans="1:7" x14ac:dyDescent="0.3">
      <c r="A151" s="9">
        <v>46201</v>
      </c>
      <c r="B151" s="10" t="s">
        <v>10</v>
      </c>
      <c r="C151" s="10" t="s">
        <v>12</v>
      </c>
      <c r="D151" s="10" t="s">
        <v>18</v>
      </c>
      <c r="E151" s="10" t="s">
        <v>20</v>
      </c>
      <c r="F151" s="10">
        <v>119</v>
      </c>
      <c r="G151" s="11">
        <v>3788</v>
      </c>
    </row>
    <row r="152" spans="1:7" x14ac:dyDescent="0.3">
      <c r="A152" s="6">
        <v>46026</v>
      </c>
      <c r="B152" s="7" t="s">
        <v>25</v>
      </c>
      <c r="C152" s="7" t="s">
        <v>28</v>
      </c>
      <c r="D152" s="7" t="s">
        <v>17</v>
      </c>
      <c r="E152" s="7" t="s">
        <v>22</v>
      </c>
      <c r="F152" s="7">
        <v>32</v>
      </c>
      <c r="G152" s="8">
        <v>3403</v>
      </c>
    </row>
    <row r="153" spans="1:7" x14ac:dyDescent="0.3">
      <c r="A153" s="9">
        <v>46028</v>
      </c>
      <c r="B153" s="10" t="s">
        <v>25</v>
      </c>
      <c r="C153" s="10" t="s">
        <v>27</v>
      </c>
      <c r="D153" s="10" t="s">
        <v>17</v>
      </c>
      <c r="E153" s="10" t="s">
        <v>24</v>
      </c>
      <c r="F153" s="10">
        <v>33</v>
      </c>
      <c r="G153" s="11">
        <v>3905</v>
      </c>
    </row>
    <row r="154" spans="1:7" x14ac:dyDescent="0.3">
      <c r="A154" s="6">
        <v>46034</v>
      </c>
      <c r="B154" s="7" t="s">
        <v>25</v>
      </c>
      <c r="C154" s="7" t="s">
        <v>13</v>
      </c>
      <c r="D154" s="7" t="s">
        <v>18</v>
      </c>
      <c r="E154" s="7" t="s">
        <v>22</v>
      </c>
      <c r="F154" s="7">
        <v>67</v>
      </c>
      <c r="G154" s="8">
        <v>2504</v>
      </c>
    </row>
    <row r="155" spans="1:7" x14ac:dyDescent="0.3">
      <c r="A155" s="9">
        <v>46038</v>
      </c>
      <c r="B155" s="10" t="s">
        <v>25</v>
      </c>
      <c r="C155" s="10" t="s">
        <v>14</v>
      </c>
      <c r="D155" s="10" t="s">
        <v>17</v>
      </c>
      <c r="E155" s="10" t="s">
        <v>22</v>
      </c>
      <c r="F155" s="10">
        <v>20</v>
      </c>
      <c r="G155" s="11">
        <v>3241</v>
      </c>
    </row>
    <row r="156" spans="1:7" x14ac:dyDescent="0.3">
      <c r="A156" s="6">
        <v>46042</v>
      </c>
      <c r="B156" s="7" t="s">
        <v>25</v>
      </c>
      <c r="C156" s="7" t="s">
        <v>14</v>
      </c>
      <c r="D156" s="7" t="s">
        <v>18</v>
      </c>
      <c r="E156" s="7" t="s">
        <v>21</v>
      </c>
      <c r="F156" s="7">
        <v>65</v>
      </c>
      <c r="G156" s="8">
        <v>2986</v>
      </c>
    </row>
    <row r="157" spans="1:7" x14ac:dyDescent="0.3">
      <c r="A157" s="9">
        <v>46044</v>
      </c>
      <c r="B157" s="10" t="s">
        <v>25</v>
      </c>
      <c r="C157" s="10" t="s">
        <v>27</v>
      </c>
      <c r="D157" s="10" t="s">
        <v>16</v>
      </c>
      <c r="E157" s="10" t="s">
        <v>21</v>
      </c>
      <c r="F157" s="10">
        <v>22</v>
      </c>
      <c r="G157" s="11">
        <v>3612</v>
      </c>
    </row>
    <row r="158" spans="1:7" x14ac:dyDescent="0.3">
      <c r="A158" s="6">
        <v>46045</v>
      </c>
      <c r="B158" s="7" t="s">
        <v>25</v>
      </c>
      <c r="C158" s="7" t="s">
        <v>12</v>
      </c>
      <c r="D158" s="7" t="s">
        <v>15</v>
      </c>
      <c r="E158" s="7" t="s">
        <v>24</v>
      </c>
      <c r="F158" s="7">
        <v>84</v>
      </c>
      <c r="G158" s="8">
        <v>3301</v>
      </c>
    </row>
    <row r="159" spans="1:7" x14ac:dyDescent="0.3">
      <c r="A159" s="9">
        <v>46052</v>
      </c>
      <c r="B159" s="10" t="s">
        <v>25</v>
      </c>
      <c r="C159" s="10" t="s">
        <v>13</v>
      </c>
      <c r="D159" s="10" t="s">
        <v>16</v>
      </c>
      <c r="E159" s="10" t="s">
        <v>20</v>
      </c>
      <c r="F159" s="10">
        <v>69</v>
      </c>
      <c r="G159" s="11">
        <v>3193</v>
      </c>
    </row>
    <row r="160" spans="1:7" x14ac:dyDescent="0.3">
      <c r="A160" s="6">
        <v>46058</v>
      </c>
      <c r="B160" s="7" t="s">
        <v>25</v>
      </c>
      <c r="C160" s="7" t="s">
        <v>27</v>
      </c>
      <c r="D160" s="7" t="s">
        <v>16</v>
      </c>
      <c r="E160" s="7" t="s">
        <v>20</v>
      </c>
      <c r="F160" s="7">
        <v>71</v>
      </c>
      <c r="G160" s="8">
        <v>4735</v>
      </c>
    </row>
    <row r="161" spans="1:7" x14ac:dyDescent="0.3">
      <c r="A161" s="9">
        <v>46059</v>
      </c>
      <c r="B161" s="10" t="s">
        <v>25</v>
      </c>
      <c r="C161" s="10" t="s">
        <v>13</v>
      </c>
      <c r="D161" s="10" t="s">
        <v>15</v>
      </c>
      <c r="E161" s="10" t="s">
        <v>19</v>
      </c>
      <c r="F161" s="10">
        <v>65</v>
      </c>
      <c r="G161" s="11">
        <v>3956</v>
      </c>
    </row>
    <row r="162" spans="1:7" x14ac:dyDescent="0.3">
      <c r="A162" s="6">
        <v>46070</v>
      </c>
      <c r="B162" s="7" t="s">
        <v>25</v>
      </c>
      <c r="C162" s="7" t="s">
        <v>27</v>
      </c>
      <c r="D162" s="7" t="s">
        <v>18</v>
      </c>
      <c r="E162" s="7" t="s">
        <v>19</v>
      </c>
      <c r="F162" s="7">
        <v>93</v>
      </c>
      <c r="G162" s="8">
        <v>3599</v>
      </c>
    </row>
    <row r="163" spans="1:7" x14ac:dyDescent="0.3">
      <c r="A163" s="9">
        <v>46074</v>
      </c>
      <c r="B163" s="10" t="s">
        <v>25</v>
      </c>
      <c r="C163" s="10" t="s">
        <v>26</v>
      </c>
      <c r="D163" s="10" t="s">
        <v>17</v>
      </c>
      <c r="E163" s="10" t="s">
        <v>23</v>
      </c>
      <c r="F163" s="10">
        <v>37</v>
      </c>
      <c r="G163" s="11">
        <v>3296</v>
      </c>
    </row>
    <row r="164" spans="1:7" x14ac:dyDescent="0.3">
      <c r="A164" s="6">
        <v>46080</v>
      </c>
      <c r="B164" s="7" t="s">
        <v>25</v>
      </c>
      <c r="C164" s="7" t="s">
        <v>28</v>
      </c>
      <c r="D164" s="7" t="s">
        <v>16</v>
      </c>
      <c r="E164" s="7" t="s">
        <v>19</v>
      </c>
      <c r="F164" s="7">
        <v>111</v>
      </c>
      <c r="G164" s="8">
        <v>3100</v>
      </c>
    </row>
    <row r="165" spans="1:7" x14ac:dyDescent="0.3">
      <c r="A165" s="9">
        <v>46088</v>
      </c>
      <c r="B165" s="10" t="s">
        <v>25</v>
      </c>
      <c r="C165" s="10" t="s">
        <v>27</v>
      </c>
      <c r="D165" s="10" t="s">
        <v>15</v>
      </c>
      <c r="E165" s="10" t="s">
        <v>24</v>
      </c>
      <c r="F165" s="10">
        <v>54</v>
      </c>
      <c r="G165" s="11">
        <v>4227</v>
      </c>
    </row>
    <row r="166" spans="1:7" x14ac:dyDescent="0.3">
      <c r="A166" s="6">
        <v>46092</v>
      </c>
      <c r="B166" s="7" t="s">
        <v>25</v>
      </c>
      <c r="C166" s="7" t="s">
        <v>13</v>
      </c>
      <c r="D166" s="7" t="s">
        <v>18</v>
      </c>
      <c r="E166" s="7" t="s">
        <v>24</v>
      </c>
      <c r="F166" s="7">
        <v>91</v>
      </c>
      <c r="G166" s="8">
        <v>1994</v>
      </c>
    </row>
    <row r="167" spans="1:7" x14ac:dyDescent="0.3">
      <c r="A167" s="9">
        <v>46095</v>
      </c>
      <c r="B167" s="10" t="s">
        <v>25</v>
      </c>
      <c r="C167" s="10" t="s">
        <v>28</v>
      </c>
      <c r="D167" s="10" t="s">
        <v>15</v>
      </c>
      <c r="E167" s="10" t="s">
        <v>23</v>
      </c>
      <c r="F167" s="10">
        <v>43</v>
      </c>
      <c r="G167" s="11">
        <v>2645</v>
      </c>
    </row>
    <row r="168" spans="1:7" x14ac:dyDescent="0.3">
      <c r="A168" s="6">
        <v>46101</v>
      </c>
      <c r="B168" s="7" t="s">
        <v>25</v>
      </c>
      <c r="C168" s="7" t="s">
        <v>27</v>
      </c>
      <c r="D168" s="7" t="s">
        <v>16</v>
      </c>
      <c r="E168" s="7" t="s">
        <v>24</v>
      </c>
      <c r="F168" s="7">
        <v>119</v>
      </c>
      <c r="G168" s="8">
        <v>2156</v>
      </c>
    </row>
    <row r="169" spans="1:7" x14ac:dyDescent="0.3">
      <c r="A169" s="9">
        <v>46111</v>
      </c>
      <c r="B169" s="10" t="s">
        <v>25</v>
      </c>
      <c r="C169" s="10" t="s">
        <v>28</v>
      </c>
      <c r="D169" s="10" t="s">
        <v>18</v>
      </c>
      <c r="E169" s="10" t="s">
        <v>24</v>
      </c>
      <c r="F169" s="10">
        <v>102</v>
      </c>
      <c r="G169" s="11">
        <v>4107</v>
      </c>
    </row>
    <row r="170" spans="1:7" x14ac:dyDescent="0.3">
      <c r="A170" s="6">
        <v>46121</v>
      </c>
      <c r="B170" s="7" t="s">
        <v>25</v>
      </c>
      <c r="C170" s="7" t="s">
        <v>28</v>
      </c>
      <c r="D170" s="7" t="s">
        <v>15</v>
      </c>
      <c r="E170" s="7" t="s">
        <v>21</v>
      </c>
      <c r="F170" s="7">
        <v>24</v>
      </c>
      <c r="G170" s="8">
        <v>2744</v>
      </c>
    </row>
    <row r="171" spans="1:7" x14ac:dyDescent="0.3">
      <c r="A171" s="9">
        <v>46125</v>
      </c>
      <c r="B171" s="10" t="s">
        <v>25</v>
      </c>
      <c r="C171" s="10" t="s">
        <v>13</v>
      </c>
      <c r="D171" s="10" t="s">
        <v>17</v>
      </c>
      <c r="E171" s="10" t="s">
        <v>22</v>
      </c>
      <c r="F171" s="10">
        <v>62</v>
      </c>
      <c r="G171" s="11">
        <v>3354</v>
      </c>
    </row>
    <row r="172" spans="1:7" x14ac:dyDescent="0.3">
      <c r="A172" s="6">
        <v>46136</v>
      </c>
      <c r="B172" s="7" t="s">
        <v>25</v>
      </c>
      <c r="C172" s="7" t="s">
        <v>28</v>
      </c>
      <c r="D172" s="7" t="s">
        <v>17</v>
      </c>
      <c r="E172" s="7" t="s">
        <v>20</v>
      </c>
      <c r="F172" s="7">
        <v>52</v>
      </c>
      <c r="G172" s="8">
        <v>4446</v>
      </c>
    </row>
    <row r="173" spans="1:7" x14ac:dyDescent="0.3">
      <c r="A173" s="9">
        <v>46138</v>
      </c>
      <c r="B173" s="10" t="s">
        <v>25</v>
      </c>
      <c r="C173" s="10" t="s">
        <v>26</v>
      </c>
      <c r="D173" s="10" t="s">
        <v>15</v>
      </c>
      <c r="E173" s="10" t="s">
        <v>22</v>
      </c>
      <c r="F173" s="10">
        <v>87</v>
      </c>
      <c r="G173" s="11">
        <v>3557</v>
      </c>
    </row>
    <row r="174" spans="1:7" x14ac:dyDescent="0.3">
      <c r="A174" s="6">
        <v>46147</v>
      </c>
      <c r="B174" s="7" t="s">
        <v>25</v>
      </c>
      <c r="C174" s="7" t="s">
        <v>26</v>
      </c>
      <c r="D174" s="7" t="s">
        <v>15</v>
      </c>
      <c r="E174" s="7" t="s">
        <v>20</v>
      </c>
      <c r="F174" s="7">
        <v>68</v>
      </c>
      <c r="G174" s="8">
        <v>4098</v>
      </c>
    </row>
    <row r="175" spans="1:7" x14ac:dyDescent="0.3">
      <c r="A175" s="9">
        <v>46148</v>
      </c>
      <c r="B175" s="10" t="s">
        <v>25</v>
      </c>
      <c r="C175" s="10" t="s">
        <v>28</v>
      </c>
      <c r="D175" s="10" t="s">
        <v>15</v>
      </c>
      <c r="E175" s="10" t="s">
        <v>21</v>
      </c>
      <c r="F175" s="10">
        <v>110</v>
      </c>
      <c r="G175" s="11">
        <v>2156</v>
      </c>
    </row>
    <row r="176" spans="1:7" x14ac:dyDescent="0.3">
      <c r="A176" s="6">
        <v>46153</v>
      </c>
      <c r="B176" s="7" t="s">
        <v>25</v>
      </c>
      <c r="C176" s="7" t="s">
        <v>26</v>
      </c>
      <c r="D176" s="7" t="s">
        <v>16</v>
      </c>
      <c r="E176" s="7" t="s">
        <v>23</v>
      </c>
      <c r="F176" s="7">
        <v>114</v>
      </c>
      <c r="G176" s="8">
        <v>4785</v>
      </c>
    </row>
    <row r="177" spans="1:7" x14ac:dyDescent="0.3">
      <c r="A177" s="9">
        <v>46172</v>
      </c>
      <c r="B177" s="10" t="s">
        <v>25</v>
      </c>
      <c r="C177" s="10" t="s">
        <v>28</v>
      </c>
      <c r="D177" s="10" t="s">
        <v>16</v>
      </c>
      <c r="E177" s="10" t="s">
        <v>20</v>
      </c>
      <c r="F177" s="10">
        <v>33</v>
      </c>
      <c r="G177" s="11">
        <v>2760</v>
      </c>
    </row>
    <row r="178" spans="1:7" x14ac:dyDescent="0.3">
      <c r="A178" s="6">
        <v>46183</v>
      </c>
      <c r="B178" s="7" t="s">
        <v>25</v>
      </c>
      <c r="C178" s="7" t="s">
        <v>13</v>
      </c>
      <c r="D178" s="7" t="s">
        <v>18</v>
      </c>
      <c r="E178" s="7" t="s">
        <v>23</v>
      </c>
      <c r="F178" s="7">
        <v>94</v>
      </c>
      <c r="G178" s="8">
        <v>4277</v>
      </c>
    </row>
    <row r="179" spans="1:7" x14ac:dyDescent="0.3">
      <c r="A179" s="9">
        <v>46188</v>
      </c>
      <c r="B179" s="10" t="s">
        <v>25</v>
      </c>
      <c r="C179" s="10" t="s">
        <v>12</v>
      </c>
      <c r="D179" s="10" t="s">
        <v>16</v>
      </c>
      <c r="E179" s="10" t="s">
        <v>22</v>
      </c>
      <c r="F179" s="10">
        <v>70</v>
      </c>
      <c r="G179" s="11">
        <v>3556</v>
      </c>
    </row>
    <row r="180" spans="1:7" x14ac:dyDescent="0.3">
      <c r="A180" s="6">
        <v>46190</v>
      </c>
      <c r="B180" s="7" t="s">
        <v>25</v>
      </c>
      <c r="C180" s="7" t="s">
        <v>26</v>
      </c>
      <c r="D180" s="7" t="s">
        <v>18</v>
      </c>
      <c r="E180" s="7" t="s">
        <v>21</v>
      </c>
      <c r="F180" s="7">
        <v>74</v>
      </c>
      <c r="G180" s="8">
        <v>3632</v>
      </c>
    </row>
    <row r="181" spans="1:7" x14ac:dyDescent="0.3">
      <c r="A181" s="9">
        <v>46191</v>
      </c>
      <c r="B181" s="10" t="s">
        <v>25</v>
      </c>
      <c r="C181" s="10" t="s">
        <v>12</v>
      </c>
      <c r="D181" s="10" t="s">
        <v>17</v>
      </c>
      <c r="E181" s="10" t="s">
        <v>24</v>
      </c>
      <c r="F181" s="10">
        <v>22</v>
      </c>
      <c r="G181" s="11">
        <v>2076</v>
      </c>
    </row>
    <row r="182" spans="1:7" x14ac:dyDescent="0.3">
      <c r="A182" s="12">
        <v>46200</v>
      </c>
      <c r="B182" s="1" t="s">
        <v>25</v>
      </c>
      <c r="C182" s="1" t="s">
        <v>12</v>
      </c>
      <c r="D182" s="1" t="s">
        <v>17</v>
      </c>
      <c r="E182" s="1" t="s">
        <v>21</v>
      </c>
      <c r="F182" s="1">
        <v>72</v>
      </c>
      <c r="G182" s="2">
        <v>1777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47582-A33C-4960-8514-E63F76F327FE}">
  <dimension ref="A1"/>
  <sheetViews>
    <sheetView showGridLines="0" zoomScale="88" workbookViewId="0">
      <selection activeCell="Y10" sqref="Y10"/>
    </sheetView>
  </sheetViews>
  <sheetFormatPr defaultRowHeight="14.4" x14ac:dyDescent="0.3"/>
  <cols>
    <col min="1" max="1" width="9"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981DA-C8F2-4476-A64B-FAD5F0502DCF}">
  <dimension ref="A3:D26"/>
  <sheetViews>
    <sheetView workbookViewId="0">
      <selection activeCell="A3" sqref="A3:B8"/>
    </sheetView>
  </sheetViews>
  <sheetFormatPr defaultRowHeight="14.4" x14ac:dyDescent="0.3"/>
  <cols>
    <col min="1" max="1" width="12.5546875" bestFit="1" customWidth="1"/>
    <col min="2" max="2" width="19" bestFit="1" customWidth="1"/>
    <col min="3" max="3" width="6.33203125" bestFit="1" customWidth="1"/>
    <col min="4" max="4" width="7.77734375" customWidth="1"/>
  </cols>
  <sheetData>
    <row r="3" spans="1:4" x14ac:dyDescent="0.3">
      <c r="A3" s="13" t="s">
        <v>29</v>
      </c>
      <c r="B3" t="s">
        <v>31</v>
      </c>
    </row>
    <row r="4" spans="1:4" x14ac:dyDescent="0.3">
      <c r="A4" s="14" t="s">
        <v>15</v>
      </c>
      <c r="B4" s="15">
        <v>154297</v>
      </c>
    </row>
    <row r="5" spans="1:4" x14ac:dyDescent="0.3">
      <c r="A5" s="14" t="s">
        <v>30</v>
      </c>
      <c r="B5" s="20">
        <v>154297</v>
      </c>
    </row>
    <row r="14" spans="1:4" ht="15.6" x14ac:dyDescent="0.3">
      <c r="B14" t="s">
        <v>31</v>
      </c>
      <c r="D14" s="16" t="s">
        <v>40</v>
      </c>
    </row>
    <row r="15" spans="1:4" ht="23.4" x14ac:dyDescent="0.45">
      <c r="B15" s="20">
        <v>154297</v>
      </c>
      <c r="D15" s="17">
        <f>GETPIVOTDATA("Revenue USD",$B$14)</f>
        <v>154297</v>
      </c>
    </row>
    <row r="18" spans="2:4" x14ac:dyDescent="0.3">
      <c r="B18" t="s">
        <v>39</v>
      </c>
    </row>
    <row r="19" spans="2:4" x14ac:dyDescent="0.3">
      <c r="B19" s="20">
        <v>45</v>
      </c>
      <c r="D19">
        <f>GETPIVOTDATA("Enrollments",$B$18)</f>
        <v>45</v>
      </c>
    </row>
    <row r="22" spans="2:4" x14ac:dyDescent="0.3">
      <c r="B22" t="s">
        <v>38</v>
      </c>
    </row>
    <row r="23" spans="2:4" x14ac:dyDescent="0.3">
      <c r="B23" s="20">
        <v>45</v>
      </c>
    </row>
    <row r="26" spans="2:4" x14ac:dyDescent="0.3">
      <c r="B26">
        <f>COUNTA(_xlfn.UNIQUE('Course Data'!$B$2:$B$182))</f>
        <v>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CAB9C-83E5-48C6-9AC9-EDD56C54C78B}">
  <dimension ref="A5:B12"/>
  <sheetViews>
    <sheetView workbookViewId="0">
      <selection activeCell="I25" sqref="I25"/>
    </sheetView>
  </sheetViews>
  <sheetFormatPr defaultRowHeight="14.4" x14ac:dyDescent="0.3"/>
  <cols>
    <col min="1" max="1" width="12.5546875" bestFit="1" customWidth="1"/>
    <col min="2" max="2" width="19" bestFit="1" customWidth="1"/>
  </cols>
  <sheetData>
    <row r="5" spans="1:2" x14ac:dyDescent="0.3">
      <c r="A5" s="13" t="s">
        <v>29</v>
      </c>
      <c r="B5" t="s">
        <v>31</v>
      </c>
    </row>
    <row r="6" spans="1:2" x14ac:dyDescent="0.3">
      <c r="A6" s="14" t="s">
        <v>22</v>
      </c>
      <c r="B6" s="20">
        <v>22134</v>
      </c>
    </row>
    <row r="7" spans="1:2" x14ac:dyDescent="0.3">
      <c r="A7" s="14" t="s">
        <v>20</v>
      </c>
      <c r="B7" s="20">
        <v>23822</v>
      </c>
    </row>
    <row r="8" spans="1:2" x14ac:dyDescent="0.3">
      <c r="A8" s="14" t="s">
        <v>23</v>
      </c>
      <c r="B8" s="20">
        <v>29415</v>
      </c>
    </row>
    <row r="9" spans="1:2" x14ac:dyDescent="0.3">
      <c r="A9" s="14" t="s">
        <v>21</v>
      </c>
      <c r="B9" s="20">
        <v>20906</v>
      </c>
    </row>
    <row r="10" spans="1:2" x14ac:dyDescent="0.3">
      <c r="A10" s="14" t="s">
        <v>24</v>
      </c>
      <c r="B10" s="20">
        <v>33575</v>
      </c>
    </row>
    <row r="11" spans="1:2" x14ac:dyDescent="0.3">
      <c r="A11" s="14" t="s">
        <v>19</v>
      </c>
      <c r="B11" s="20">
        <v>24445</v>
      </c>
    </row>
    <row r="12" spans="1:2" x14ac:dyDescent="0.3">
      <c r="A12" s="14" t="s">
        <v>30</v>
      </c>
      <c r="B12" s="20">
        <v>154297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1B7E9-E479-4BD1-A957-36C7B873C265}">
  <dimension ref="B8:C15"/>
  <sheetViews>
    <sheetView topLeftCell="A3" workbookViewId="0">
      <selection activeCell="I7" sqref="I7"/>
    </sheetView>
  </sheetViews>
  <sheetFormatPr defaultRowHeight="14.4" x14ac:dyDescent="0.3"/>
  <cols>
    <col min="2" max="2" width="12.5546875" bestFit="1" customWidth="1"/>
    <col min="3" max="3" width="19" bestFit="1" customWidth="1"/>
  </cols>
  <sheetData>
    <row r="8" spans="2:3" x14ac:dyDescent="0.3">
      <c r="B8" s="13" t="s">
        <v>29</v>
      </c>
      <c r="C8" t="s">
        <v>31</v>
      </c>
    </row>
    <row r="9" spans="2:3" x14ac:dyDescent="0.3">
      <c r="B9" s="14" t="s">
        <v>32</v>
      </c>
      <c r="C9" s="20">
        <v>22620</v>
      </c>
    </row>
    <row r="10" spans="2:3" x14ac:dyDescent="0.3">
      <c r="B10" s="14" t="s">
        <v>33</v>
      </c>
      <c r="C10" s="20">
        <v>19509</v>
      </c>
    </row>
    <row r="11" spans="2:3" x14ac:dyDescent="0.3">
      <c r="B11" s="14" t="s">
        <v>34</v>
      </c>
      <c r="C11" s="20">
        <v>38282</v>
      </c>
    </row>
    <row r="12" spans="2:3" x14ac:dyDescent="0.3">
      <c r="B12" s="14" t="s">
        <v>35</v>
      </c>
      <c r="C12" s="20">
        <v>21676</v>
      </c>
    </row>
    <row r="13" spans="2:3" x14ac:dyDescent="0.3">
      <c r="B13" s="14" t="s">
        <v>36</v>
      </c>
      <c r="C13" s="20">
        <v>37019</v>
      </c>
    </row>
    <row r="14" spans="2:3" x14ac:dyDescent="0.3">
      <c r="B14" s="14" t="s">
        <v>37</v>
      </c>
      <c r="C14" s="20">
        <v>15191</v>
      </c>
    </row>
    <row r="15" spans="2:3" x14ac:dyDescent="0.3">
      <c r="B15" s="14" t="s">
        <v>30</v>
      </c>
      <c r="C15" s="20">
        <v>154297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F4945-AD2B-49BF-8712-F26E5691C6AD}">
  <dimension ref="A7:B14"/>
  <sheetViews>
    <sheetView workbookViewId="0">
      <selection activeCell="A7" sqref="A7"/>
    </sheetView>
  </sheetViews>
  <sheetFormatPr defaultRowHeight="14.4" x14ac:dyDescent="0.3"/>
  <cols>
    <col min="1" max="1" width="15" bestFit="1" customWidth="1"/>
    <col min="2" max="2" width="19" bestFit="1" customWidth="1"/>
    <col min="3" max="3" width="5.21875" bestFit="1" customWidth="1"/>
    <col min="4" max="4" width="8.33203125" bestFit="1" customWidth="1"/>
    <col min="5" max="5" width="7.109375" bestFit="1" customWidth="1"/>
    <col min="6" max="6" width="10" bestFit="1" customWidth="1"/>
    <col min="7" max="7" width="11.21875" bestFit="1" customWidth="1"/>
    <col min="8" max="8" width="10.77734375" bestFit="1" customWidth="1"/>
  </cols>
  <sheetData>
    <row r="7" spans="1:2" x14ac:dyDescent="0.3">
      <c r="A7" s="13" t="s">
        <v>29</v>
      </c>
      <c r="B7" t="s">
        <v>31</v>
      </c>
    </row>
    <row r="8" spans="1:2" x14ac:dyDescent="0.3">
      <c r="A8" s="14" t="s">
        <v>14</v>
      </c>
      <c r="B8" s="20">
        <v>15748</v>
      </c>
    </row>
    <row r="9" spans="1:2" x14ac:dyDescent="0.3">
      <c r="A9" s="14" t="s">
        <v>27</v>
      </c>
      <c r="B9" s="20">
        <v>26839</v>
      </c>
    </row>
    <row r="10" spans="1:2" x14ac:dyDescent="0.3">
      <c r="A10" s="14" t="s">
        <v>12</v>
      </c>
      <c r="B10" s="20">
        <v>17275</v>
      </c>
    </row>
    <row r="11" spans="1:2" x14ac:dyDescent="0.3">
      <c r="A11" s="14" t="s">
        <v>13</v>
      </c>
      <c r="B11" s="20">
        <v>27584</v>
      </c>
    </row>
    <row r="12" spans="1:2" x14ac:dyDescent="0.3">
      <c r="A12" s="14" t="s">
        <v>28</v>
      </c>
      <c r="B12" s="20">
        <v>37566</v>
      </c>
    </row>
    <row r="13" spans="1:2" x14ac:dyDescent="0.3">
      <c r="A13" s="14" t="s">
        <v>26</v>
      </c>
      <c r="B13" s="20">
        <v>29285</v>
      </c>
    </row>
    <row r="14" spans="1:2" x14ac:dyDescent="0.3">
      <c r="A14" s="14" t="s">
        <v>30</v>
      </c>
      <c r="B14" s="20">
        <v>154297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2B816-F124-4E43-B1A6-FF0DEC814DC1}">
  <dimension ref="A1:G56"/>
  <sheetViews>
    <sheetView workbookViewId="0">
      <selection activeCell="C1" sqref="C1"/>
    </sheetView>
  </sheetViews>
  <sheetFormatPr defaultRowHeight="14.4" x14ac:dyDescent="0.3"/>
  <cols>
    <col min="1" max="1" width="9.5546875" bestFit="1" customWidth="1"/>
    <col min="2" max="2" width="14.44140625" bestFit="1" customWidth="1"/>
    <col min="3" max="3" width="15" bestFit="1" customWidth="1"/>
    <col min="4" max="4" width="10.77734375" bestFit="1" customWidth="1"/>
    <col min="5" max="5" width="10.6640625" bestFit="1" customWidth="1"/>
    <col min="6" max="6" width="13.21875" bestFit="1" customWidth="1"/>
    <col min="7" max="7" width="14.5546875" bestFit="1" customWidth="1"/>
  </cols>
  <sheetData>
    <row r="1" spans="1:7" x14ac:dyDescent="0.3">
      <c r="A1" s="18" t="s">
        <v>41</v>
      </c>
    </row>
    <row r="3" spans="1:7" x14ac:dyDescent="0.3">
      <c r="A3" t="s">
        <v>0</v>
      </c>
      <c r="B3" t="s">
        <v>1</v>
      </c>
      <c r="C3" t="s">
        <v>2</v>
      </c>
      <c r="D3" t="s">
        <v>3</v>
      </c>
      <c r="E3" t="s">
        <v>4</v>
      </c>
      <c r="F3" t="s">
        <v>6</v>
      </c>
      <c r="G3" t="s">
        <v>5</v>
      </c>
    </row>
    <row r="4" spans="1:7" x14ac:dyDescent="0.3">
      <c r="A4" t="s">
        <v>0</v>
      </c>
      <c r="B4" t="s">
        <v>25</v>
      </c>
      <c r="C4" t="s">
        <v>12</v>
      </c>
      <c r="D4" t="s">
        <v>16</v>
      </c>
      <c r="E4" t="s">
        <v>22</v>
      </c>
      <c r="F4">
        <v>70</v>
      </c>
      <c r="G4">
        <v>3556</v>
      </c>
    </row>
    <row r="5" spans="1:7" x14ac:dyDescent="0.3">
      <c r="A5" t="s">
        <v>0</v>
      </c>
      <c r="B5" t="s">
        <v>25</v>
      </c>
      <c r="C5" t="s">
        <v>28</v>
      </c>
      <c r="D5" t="s">
        <v>16</v>
      </c>
      <c r="E5" t="s">
        <v>20</v>
      </c>
      <c r="F5">
        <v>33</v>
      </c>
      <c r="G5">
        <v>2760</v>
      </c>
    </row>
    <row r="6" spans="1:7" x14ac:dyDescent="0.3">
      <c r="A6" t="s">
        <v>0</v>
      </c>
      <c r="B6" t="s">
        <v>11</v>
      </c>
      <c r="C6" t="s">
        <v>13</v>
      </c>
      <c r="D6" t="s">
        <v>16</v>
      </c>
      <c r="E6" t="s">
        <v>22</v>
      </c>
      <c r="F6">
        <v>54</v>
      </c>
      <c r="G6">
        <v>1736</v>
      </c>
    </row>
    <row r="7" spans="1:7" x14ac:dyDescent="0.3">
      <c r="A7" t="s">
        <v>0</v>
      </c>
      <c r="B7" t="s">
        <v>25</v>
      </c>
      <c r="C7" t="s">
        <v>26</v>
      </c>
      <c r="D7" t="s">
        <v>16</v>
      </c>
      <c r="E7" t="s">
        <v>23</v>
      </c>
      <c r="F7">
        <v>114</v>
      </c>
      <c r="G7">
        <v>4785</v>
      </c>
    </row>
    <row r="8" spans="1:7" x14ac:dyDescent="0.3">
      <c r="A8" t="s">
        <v>0</v>
      </c>
      <c r="B8" t="s">
        <v>25</v>
      </c>
      <c r="C8" t="s">
        <v>27</v>
      </c>
      <c r="D8" t="s">
        <v>16</v>
      </c>
      <c r="E8" t="s">
        <v>24</v>
      </c>
      <c r="F8">
        <v>119</v>
      </c>
      <c r="G8">
        <v>2156</v>
      </c>
    </row>
    <row r="9" spans="1:7" x14ac:dyDescent="0.3">
      <c r="A9" t="s">
        <v>0</v>
      </c>
      <c r="B9" t="s">
        <v>25</v>
      </c>
      <c r="C9" t="s">
        <v>28</v>
      </c>
      <c r="D9" t="s">
        <v>16</v>
      </c>
      <c r="E9" t="s">
        <v>19</v>
      </c>
      <c r="F9">
        <v>111</v>
      </c>
      <c r="G9">
        <v>3100</v>
      </c>
    </row>
    <row r="10" spans="1:7" x14ac:dyDescent="0.3">
      <c r="A10" t="s">
        <v>0</v>
      </c>
      <c r="B10" t="s">
        <v>25</v>
      </c>
      <c r="C10" t="s">
        <v>27</v>
      </c>
      <c r="D10" t="s">
        <v>16</v>
      </c>
      <c r="E10" t="s">
        <v>20</v>
      </c>
      <c r="F10">
        <v>71</v>
      </c>
      <c r="G10">
        <v>4735</v>
      </c>
    </row>
    <row r="11" spans="1:7" x14ac:dyDescent="0.3">
      <c r="A11" t="s">
        <v>0</v>
      </c>
      <c r="B11" t="s">
        <v>25</v>
      </c>
      <c r="C11" t="s">
        <v>13</v>
      </c>
      <c r="D11" t="s">
        <v>16</v>
      </c>
      <c r="E11" t="s">
        <v>20</v>
      </c>
      <c r="F11">
        <v>69</v>
      </c>
      <c r="G11">
        <v>3193</v>
      </c>
    </row>
    <row r="12" spans="1:7" x14ac:dyDescent="0.3">
      <c r="A12" t="s">
        <v>0</v>
      </c>
      <c r="B12" t="s">
        <v>25</v>
      </c>
      <c r="C12" t="s">
        <v>27</v>
      </c>
      <c r="D12" t="s">
        <v>16</v>
      </c>
      <c r="E12" t="s">
        <v>21</v>
      </c>
      <c r="F12">
        <v>22</v>
      </c>
      <c r="G12">
        <v>3612</v>
      </c>
    </row>
    <row r="13" spans="1:7" x14ac:dyDescent="0.3">
      <c r="A13" t="s">
        <v>0</v>
      </c>
      <c r="B13" t="s">
        <v>10</v>
      </c>
      <c r="C13" t="s">
        <v>28</v>
      </c>
      <c r="D13" t="s">
        <v>16</v>
      </c>
      <c r="E13" t="s">
        <v>21</v>
      </c>
      <c r="F13">
        <v>118</v>
      </c>
      <c r="G13">
        <v>3241</v>
      </c>
    </row>
    <row r="14" spans="1:7" x14ac:dyDescent="0.3">
      <c r="A14" t="s">
        <v>0</v>
      </c>
      <c r="B14" t="s">
        <v>11</v>
      </c>
      <c r="C14" t="s">
        <v>12</v>
      </c>
      <c r="D14" t="s">
        <v>16</v>
      </c>
      <c r="E14" t="s">
        <v>22</v>
      </c>
      <c r="F14">
        <v>46</v>
      </c>
      <c r="G14">
        <v>4212</v>
      </c>
    </row>
    <row r="15" spans="1:7" x14ac:dyDescent="0.3">
      <c r="A15" t="s">
        <v>0</v>
      </c>
      <c r="B15" t="s">
        <v>10</v>
      </c>
      <c r="C15" t="s">
        <v>12</v>
      </c>
      <c r="D15" t="s">
        <v>16</v>
      </c>
      <c r="E15" t="s">
        <v>19</v>
      </c>
      <c r="F15">
        <v>49</v>
      </c>
      <c r="G15">
        <v>2402</v>
      </c>
    </row>
    <row r="16" spans="1:7" x14ac:dyDescent="0.3">
      <c r="A16" t="s">
        <v>0</v>
      </c>
      <c r="B16" t="s">
        <v>10</v>
      </c>
      <c r="C16" t="s">
        <v>14</v>
      </c>
      <c r="D16" t="s">
        <v>16</v>
      </c>
      <c r="E16" t="s">
        <v>23</v>
      </c>
      <c r="F16">
        <v>116</v>
      </c>
      <c r="G16">
        <v>2128</v>
      </c>
    </row>
    <row r="17" spans="1:7" x14ac:dyDescent="0.3">
      <c r="A17" t="s">
        <v>0</v>
      </c>
      <c r="B17" t="s">
        <v>10</v>
      </c>
      <c r="C17" t="s">
        <v>26</v>
      </c>
      <c r="D17" t="s">
        <v>16</v>
      </c>
      <c r="E17" t="s">
        <v>24</v>
      </c>
      <c r="F17">
        <v>105</v>
      </c>
      <c r="G17">
        <v>4162</v>
      </c>
    </row>
    <row r="18" spans="1:7" x14ac:dyDescent="0.3">
      <c r="A18" t="s">
        <v>0</v>
      </c>
      <c r="B18" t="s">
        <v>10</v>
      </c>
      <c r="C18" t="s">
        <v>26</v>
      </c>
      <c r="D18" t="s">
        <v>16</v>
      </c>
      <c r="E18" t="s">
        <v>22</v>
      </c>
      <c r="F18">
        <v>113</v>
      </c>
      <c r="G18">
        <v>4960</v>
      </c>
    </row>
    <row r="19" spans="1:7" x14ac:dyDescent="0.3">
      <c r="A19" t="s">
        <v>0</v>
      </c>
      <c r="B19" t="s">
        <v>11</v>
      </c>
      <c r="C19" t="s">
        <v>14</v>
      </c>
      <c r="D19" t="s">
        <v>16</v>
      </c>
      <c r="E19" t="s">
        <v>24</v>
      </c>
      <c r="F19">
        <v>71</v>
      </c>
      <c r="G19">
        <v>3479</v>
      </c>
    </row>
    <row r="20" spans="1:7" x14ac:dyDescent="0.3">
      <c r="A20" t="s">
        <v>0</v>
      </c>
      <c r="B20" t="s">
        <v>10</v>
      </c>
      <c r="C20" t="s">
        <v>13</v>
      </c>
      <c r="D20" t="s">
        <v>16</v>
      </c>
      <c r="E20" t="s">
        <v>21</v>
      </c>
      <c r="F20">
        <v>65</v>
      </c>
      <c r="G20">
        <v>2910</v>
      </c>
    </row>
    <row r="21" spans="1:7" x14ac:dyDescent="0.3">
      <c r="A21" t="s">
        <v>0</v>
      </c>
      <c r="B21" t="s">
        <v>10</v>
      </c>
      <c r="C21" t="s">
        <v>28</v>
      </c>
      <c r="D21" t="s">
        <v>16</v>
      </c>
      <c r="E21" t="s">
        <v>21</v>
      </c>
      <c r="F21">
        <v>26</v>
      </c>
      <c r="G21">
        <v>4793</v>
      </c>
    </row>
    <row r="22" spans="1:7" x14ac:dyDescent="0.3">
      <c r="A22" t="s">
        <v>0</v>
      </c>
      <c r="B22" t="s">
        <v>10</v>
      </c>
      <c r="C22" t="s">
        <v>26</v>
      </c>
      <c r="D22" t="s">
        <v>16</v>
      </c>
      <c r="E22" t="s">
        <v>23</v>
      </c>
      <c r="F22">
        <v>84</v>
      </c>
      <c r="G22">
        <v>2965</v>
      </c>
    </row>
    <row r="23" spans="1:7" x14ac:dyDescent="0.3">
      <c r="A23" t="s">
        <v>0</v>
      </c>
      <c r="B23" t="s">
        <v>10</v>
      </c>
      <c r="C23" t="s">
        <v>12</v>
      </c>
      <c r="D23" t="s">
        <v>16</v>
      </c>
      <c r="E23" t="s">
        <v>23</v>
      </c>
      <c r="F23">
        <v>56</v>
      </c>
      <c r="G23">
        <v>4289</v>
      </c>
    </row>
    <row r="24" spans="1:7" x14ac:dyDescent="0.3">
      <c r="A24" t="s">
        <v>0</v>
      </c>
      <c r="B24" t="s">
        <v>11</v>
      </c>
      <c r="C24" t="s">
        <v>27</v>
      </c>
      <c r="D24" t="s">
        <v>16</v>
      </c>
      <c r="E24" t="s">
        <v>20</v>
      </c>
      <c r="F24">
        <v>90</v>
      </c>
      <c r="G24">
        <v>1700</v>
      </c>
    </row>
    <row r="25" spans="1:7" x14ac:dyDescent="0.3">
      <c r="A25" t="s">
        <v>0</v>
      </c>
      <c r="B25" t="s">
        <v>11</v>
      </c>
      <c r="C25" t="s">
        <v>28</v>
      </c>
      <c r="D25" t="s">
        <v>16</v>
      </c>
      <c r="E25" t="s">
        <v>20</v>
      </c>
      <c r="F25">
        <v>58</v>
      </c>
      <c r="G25">
        <v>1841</v>
      </c>
    </row>
    <row r="26" spans="1:7" x14ac:dyDescent="0.3">
      <c r="A26" t="s">
        <v>0</v>
      </c>
      <c r="B26" t="s">
        <v>10</v>
      </c>
      <c r="C26" t="s">
        <v>27</v>
      </c>
      <c r="D26" t="s">
        <v>16</v>
      </c>
      <c r="E26" t="s">
        <v>23</v>
      </c>
      <c r="F26">
        <v>102</v>
      </c>
      <c r="G26">
        <v>3949</v>
      </c>
    </row>
    <row r="27" spans="1:7" x14ac:dyDescent="0.3">
      <c r="A27" t="s">
        <v>0</v>
      </c>
      <c r="B27" t="s">
        <v>10</v>
      </c>
      <c r="C27" t="s">
        <v>14</v>
      </c>
      <c r="D27" t="s">
        <v>16</v>
      </c>
      <c r="E27" t="s">
        <v>23</v>
      </c>
      <c r="F27">
        <v>74</v>
      </c>
      <c r="G27">
        <v>2246</v>
      </c>
    </row>
    <row r="28" spans="1:7" x14ac:dyDescent="0.3">
      <c r="A28" t="s">
        <v>0</v>
      </c>
      <c r="B28" t="s">
        <v>9</v>
      </c>
      <c r="C28" t="s">
        <v>28</v>
      </c>
      <c r="D28" t="s">
        <v>16</v>
      </c>
      <c r="E28" t="s">
        <v>20</v>
      </c>
      <c r="F28">
        <v>94</v>
      </c>
      <c r="G28">
        <v>1716</v>
      </c>
    </row>
    <row r="29" spans="1:7" x14ac:dyDescent="0.3">
      <c r="A29" t="s">
        <v>0</v>
      </c>
      <c r="B29" t="s">
        <v>9</v>
      </c>
      <c r="C29" t="s">
        <v>28</v>
      </c>
      <c r="D29" t="s">
        <v>16</v>
      </c>
      <c r="E29" t="s">
        <v>23</v>
      </c>
      <c r="F29">
        <v>104</v>
      </c>
      <c r="G29">
        <v>3436</v>
      </c>
    </row>
    <row r="30" spans="1:7" x14ac:dyDescent="0.3">
      <c r="A30" t="s">
        <v>0</v>
      </c>
      <c r="B30" t="s">
        <v>9</v>
      </c>
      <c r="C30" t="s">
        <v>12</v>
      </c>
      <c r="D30" t="s">
        <v>16</v>
      </c>
      <c r="E30" t="s">
        <v>19</v>
      </c>
      <c r="F30">
        <v>112</v>
      </c>
      <c r="G30">
        <v>3871</v>
      </c>
    </row>
    <row r="31" spans="1:7" x14ac:dyDescent="0.3">
      <c r="A31" t="s">
        <v>0</v>
      </c>
      <c r="B31" t="s">
        <v>9</v>
      </c>
      <c r="C31" t="s">
        <v>27</v>
      </c>
      <c r="D31" t="s">
        <v>16</v>
      </c>
      <c r="E31" t="s">
        <v>20</v>
      </c>
      <c r="F31">
        <v>50</v>
      </c>
      <c r="G31">
        <v>3591</v>
      </c>
    </row>
    <row r="32" spans="1:7" x14ac:dyDescent="0.3">
      <c r="A32" t="s">
        <v>0</v>
      </c>
      <c r="B32" t="s">
        <v>9</v>
      </c>
      <c r="C32" t="s">
        <v>12</v>
      </c>
      <c r="D32" t="s">
        <v>16</v>
      </c>
      <c r="E32" t="s">
        <v>21</v>
      </c>
      <c r="F32">
        <v>38</v>
      </c>
      <c r="G32">
        <v>2183</v>
      </c>
    </row>
    <row r="33" spans="1:7" x14ac:dyDescent="0.3">
      <c r="A33" t="s">
        <v>0</v>
      </c>
      <c r="B33" t="s">
        <v>11</v>
      </c>
      <c r="C33" t="s">
        <v>12</v>
      </c>
      <c r="D33" t="s">
        <v>16</v>
      </c>
      <c r="E33" t="s">
        <v>24</v>
      </c>
      <c r="F33">
        <v>110</v>
      </c>
      <c r="G33">
        <v>2084</v>
      </c>
    </row>
    <row r="34" spans="1:7" x14ac:dyDescent="0.3">
      <c r="A34" t="s">
        <v>0</v>
      </c>
      <c r="B34" t="s">
        <v>11</v>
      </c>
      <c r="C34" t="s">
        <v>27</v>
      </c>
      <c r="D34" t="s">
        <v>16</v>
      </c>
      <c r="E34" t="s">
        <v>23</v>
      </c>
      <c r="F34">
        <v>102</v>
      </c>
      <c r="G34">
        <v>4125</v>
      </c>
    </row>
    <row r="35" spans="1:7" x14ac:dyDescent="0.3">
      <c r="A35" t="s">
        <v>0</v>
      </c>
      <c r="B35" t="s">
        <v>9</v>
      </c>
      <c r="C35" t="s">
        <v>27</v>
      </c>
      <c r="D35" t="s">
        <v>16</v>
      </c>
      <c r="E35" t="s">
        <v>22</v>
      </c>
      <c r="F35">
        <v>58</v>
      </c>
      <c r="G35">
        <v>4039</v>
      </c>
    </row>
    <row r="36" spans="1:7" x14ac:dyDescent="0.3">
      <c r="A36" t="s">
        <v>0</v>
      </c>
      <c r="B36" t="s">
        <v>11</v>
      </c>
      <c r="C36" t="s">
        <v>27</v>
      </c>
      <c r="D36" t="s">
        <v>16</v>
      </c>
      <c r="E36" t="s">
        <v>22</v>
      </c>
      <c r="F36">
        <v>29</v>
      </c>
      <c r="G36">
        <v>3743</v>
      </c>
    </row>
    <row r="37" spans="1:7" x14ac:dyDescent="0.3">
      <c r="A37" t="s">
        <v>0</v>
      </c>
      <c r="B37" t="s">
        <v>9</v>
      </c>
      <c r="C37" t="s">
        <v>13</v>
      </c>
      <c r="D37" t="s">
        <v>16</v>
      </c>
      <c r="E37" t="s">
        <v>21</v>
      </c>
      <c r="F37">
        <v>104</v>
      </c>
      <c r="G37">
        <v>4918</v>
      </c>
    </row>
    <row r="38" spans="1:7" x14ac:dyDescent="0.3">
      <c r="A38" t="s">
        <v>0</v>
      </c>
      <c r="B38" t="s">
        <v>9</v>
      </c>
      <c r="C38" t="s">
        <v>27</v>
      </c>
      <c r="D38" t="s">
        <v>16</v>
      </c>
      <c r="E38" t="s">
        <v>21</v>
      </c>
      <c r="F38">
        <v>80</v>
      </c>
      <c r="G38">
        <v>1973</v>
      </c>
    </row>
    <row r="39" spans="1:7" x14ac:dyDescent="0.3">
      <c r="A39" t="s">
        <v>0</v>
      </c>
      <c r="B39" t="s">
        <v>9</v>
      </c>
      <c r="C39" t="s">
        <v>13</v>
      </c>
      <c r="D39" t="s">
        <v>16</v>
      </c>
      <c r="E39" t="s">
        <v>24</v>
      </c>
      <c r="F39">
        <v>78</v>
      </c>
      <c r="G39">
        <v>4359</v>
      </c>
    </row>
    <row r="40" spans="1:7" x14ac:dyDescent="0.3">
      <c r="A40" t="s">
        <v>0</v>
      </c>
      <c r="B40" t="s">
        <v>11</v>
      </c>
      <c r="C40" t="s">
        <v>28</v>
      </c>
      <c r="D40" t="s">
        <v>16</v>
      </c>
      <c r="E40" t="s">
        <v>23</v>
      </c>
      <c r="F40">
        <v>90</v>
      </c>
      <c r="G40">
        <v>2546</v>
      </c>
    </row>
    <row r="41" spans="1:7" x14ac:dyDescent="0.3">
      <c r="A41" t="s">
        <v>0</v>
      </c>
      <c r="B41" t="s">
        <v>7</v>
      </c>
      <c r="C41" t="s">
        <v>13</v>
      </c>
      <c r="D41" t="s">
        <v>16</v>
      </c>
      <c r="E41" t="s">
        <v>20</v>
      </c>
      <c r="F41">
        <v>45</v>
      </c>
      <c r="G41">
        <v>3104</v>
      </c>
    </row>
    <row r="42" spans="1:7" x14ac:dyDescent="0.3">
      <c r="A42" t="s">
        <v>0</v>
      </c>
      <c r="B42" t="s">
        <v>9</v>
      </c>
      <c r="C42" t="s">
        <v>26</v>
      </c>
      <c r="D42" t="s">
        <v>16</v>
      </c>
      <c r="E42" t="s">
        <v>20</v>
      </c>
      <c r="F42">
        <v>45</v>
      </c>
      <c r="G42">
        <v>4705</v>
      </c>
    </row>
    <row r="43" spans="1:7" x14ac:dyDescent="0.3">
      <c r="A43" t="s">
        <v>0</v>
      </c>
      <c r="B43" t="s">
        <v>9</v>
      </c>
      <c r="C43" t="s">
        <v>27</v>
      </c>
      <c r="D43" t="s">
        <v>16</v>
      </c>
      <c r="E43" t="s">
        <v>19</v>
      </c>
      <c r="F43">
        <v>107</v>
      </c>
      <c r="G43">
        <v>3537</v>
      </c>
    </row>
    <row r="44" spans="1:7" x14ac:dyDescent="0.3">
      <c r="A44" t="s">
        <v>0</v>
      </c>
      <c r="B44" t="s">
        <v>8</v>
      </c>
      <c r="C44" t="s">
        <v>27</v>
      </c>
      <c r="D44" t="s">
        <v>16</v>
      </c>
      <c r="E44" t="s">
        <v>21</v>
      </c>
      <c r="F44">
        <v>47</v>
      </c>
      <c r="G44">
        <v>4743</v>
      </c>
    </row>
    <row r="45" spans="1:7" x14ac:dyDescent="0.3">
      <c r="A45" t="s">
        <v>0</v>
      </c>
      <c r="B45" t="s">
        <v>7</v>
      </c>
      <c r="C45" t="s">
        <v>26</v>
      </c>
      <c r="D45" t="s">
        <v>16</v>
      </c>
      <c r="E45" t="s">
        <v>21</v>
      </c>
      <c r="F45">
        <v>41</v>
      </c>
      <c r="G45">
        <v>3908</v>
      </c>
    </row>
    <row r="46" spans="1:7" x14ac:dyDescent="0.3">
      <c r="A46" t="s">
        <v>0</v>
      </c>
      <c r="B46" t="s">
        <v>8</v>
      </c>
      <c r="C46" t="s">
        <v>14</v>
      </c>
      <c r="D46" t="s">
        <v>16</v>
      </c>
      <c r="E46" t="s">
        <v>20</v>
      </c>
      <c r="F46">
        <v>49</v>
      </c>
      <c r="G46">
        <v>4939</v>
      </c>
    </row>
    <row r="47" spans="1:7" x14ac:dyDescent="0.3">
      <c r="A47" t="s">
        <v>0</v>
      </c>
      <c r="B47" t="s">
        <v>8</v>
      </c>
      <c r="C47" t="s">
        <v>28</v>
      </c>
      <c r="D47" t="s">
        <v>16</v>
      </c>
      <c r="E47" t="s">
        <v>19</v>
      </c>
      <c r="F47">
        <v>97</v>
      </c>
      <c r="G47">
        <v>4229</v>
      </c>
    </row>
    <row r="48" spans="1:7" x14ac:dyDescent="0.3">
      <c r="A48" t="s">
        <v>0</v>
      </c>
      <c r="B48" t="s">
        <v>7</v>
      </c>
      <c r="C48" t="s">
        <v>27</v>
      </c>
      <c r="D48" t="s">
        <v>16</v>
      </c>
      <c r="E48" t="s">
        <v>21</v>
      </c>
      <c r="F48">
        <v>115</v>
      </c>
      <c r="G48">
        <v>4794</v>
      </c>
    </row>
    <row r="49" spans="1:7" x14ac:dyDescent="0.3">
      <c r="A49" t="s">
        <v>0</v>
      </c>
      <c r="B49" t="s">
        <v>7</v>
      </c>
      <c r="C49" t="s">
        <v>14</v>
      </c>
      <c r="D49" t="s">
        <v>16</v>
      </c>
      <c r="E49" t="s">
        <v>23</v>
      </c>
      <c r="F49">
        <v>70</v>
      </c>
      <c r="G49">
        <v>4256</v>
      </c>
    </row>
    <row r="50" spans="1:7" x14ac:dyDescent="0.3">
      <c r="A50" t="s">
        <v>0</v>
      </c>
      <c r="B50" t="s">
        <v>8</v>
      </c>
      <c r="C50" t="s">
        <v>27</v>
      </c>
      <c r="D50" t="s">
        <v>16</v>
      </c>
      <c r="E50" t="s">
        <v>24</v>
      </c>
      <c r="F50">
        <v>52</v>
      </c>
      <c r="G50">
        <v>4186</v>
      </c>
    </row>
    <row r="51" spans="1:7" x14ac:dyDescent="0.3">
      <c r="A51" t="s">
        <v>0</v>
      </c>
      <c r="B51" t="s">
        <v>8</v>
      </c>
      <c r="C51" t="s">
        <v>27</v>
      </c>
      <c r="D51" t="s">
        <v>16</v>
      </c>
      <c r="E51" t="s">
        <v>19</v>
      </c>
      <c r="F51">
        <v>90</v>
      </c>
      <c r="G51">
        <v>1979</v>
      </c>
    </row>
    <row r="52" spans="1:7" x14ac:dyDescent="0.3">
      <c r="A52" t="s">
        <v>0</v>
      </c>
      <c r="B52" t="s">
        <v>7</v>
      </c>
      <c r="C52" t="s">
        <v>12</v>
      </c>
      <c r="D52" t="s">
        <v>16</v>
      </c>
      <c r="E52" t="s">
        <v>20</v>
      </c>
      <c r="F52">
        <v>67</v>
      </c>
      <c r="G52">
        <v>2941</v>
      </c>
    </row>
    <row r="53" spans="1:7" x14ac:dyDescent="0.3">
      <c r="A53" t="s">
        <v>0</v>
      </c>
      <c r="B53" t="s">
        <v>7</v>
      </c>
      <c r="C53" t="s">
        <v>26</v>
      </c>
      <c r="D53" t="s">
        <v>16</v>
      </c>
      <c r="E53" t="s">
        <v>21</v>
      </c>
      <c r="F53">
        <v>108</v>
      </c>
      <c r="G53">
        <v>2374</v>
      </c>
    </row>
    <row r="54" spans="1:7" x14ac:dyDescent="0.3">
      <c r="A54" t="s">
        <v>0</v>
      </c>
      <c r="B54" t="s">
        <v>7</v>
      </c>
      <c r="C54" t="s">
        <v>26</v>
      </c>
      <c r="D54" t="s">
        <v>16</v>
      </c>
      <c r="E54" t="s">
        <v>20</v>
      </c>
      <c r="F54">
        <v>91</v>
      </c>
      <c r="G54">
        <v>3607</v>
      </c>
    </row>
    <row r="55" spans="1:7" x14ac:dyDescent="0.3">
      <c r="A55" t="s">
        <v>0</v>
      </c>
      <c r="B55" t="s">
        <v>7</v>
      </c>
      <c r="C55" t="s">
        <v>14</v>
      </c>
      <c r="D55" t="s">
        <v>16</v>
      </c>
      <c r="E55" t="s">
        <v>24</v>
      </c>
      <c r="F55">
        <v>21</v>
      </c>
      <c r="G55">
        <v>3753</v>
      </c>
    </row>
    <row r="56" spans="1:7" x14ac:dyDescent="0.3">
      <c r="A56" t="s">
        <v>0</v>
      </c>
      <c r="B56" t="s">
        <v>7</v>
      </c>
      <c r="C56" t="s">
        <v>12</v>
      </c>
      <c r="D56" t="s">
        <v>16</v>
      </c>
      <c r="E56" t="s">
        <v>20</v>
      </c>
      <c r="F56">
        <v>48</v>
      </c>
      <c r="G56">
        <v>3472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17F87-E887-415C-8B3D-D1FDF57C9FFC}">
  <dimension ref="A1"/>
  <sheetViews>
    <sheetView workbookViewId="0">
      <selection activeCell="I4" sqref="I4"/>
    </sheetView>
  </sheetViews>
  <sheetFormatPr defaultRowHeight="14.4" x14ac:dyDescent="0.3"/>
  <cols>
    <col min="1" max="1" width="18.77734375" bestFit="1" customWidth="1"/>
    <col min="2" max="2" width="19" bestFit="1" customWidth="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E7397-1949-46D3-AAC8-E91ACDE006D4}">
  <dimension ref="A3:C28"/>
  <sheetViews>
    <sheetView workbookViewId="0">
      <selection activeCell="C22" sqref="C22"/>
    </sheetView>
  </sheetViews>
  <sheetFormatPr defaultRowHeight="14.4" x14ac:dyDescent="0.3"/>
  <cols>
    <col min="1" max="1" width="17.6640625" bestFit="1" customWidth="1"/>
    <col min="2" max="2" width="19" bestFit="1" customWidth="1"/>
  </cols>
  <sheetData>
    <row r="3" spans="1:2" x14ac:dyDescent="0.3">
      <c r="A3" s="13" t="s">
        <v>29</v>
      </c>
      <c r="B3" t="s">
        <v>31</v>
      </c>
    </row>
    <row r="4" spans="1:2" x14ac:dyDescent="0.3">
      <c r="A4" s="14" t="s">
        <v>22</v>
      </c>
      <c r="B4" s="20">
        <v>22134</v>
      </c>
    </row>
    <row r="5" spans="1:2" x14ac:dyDescent="0.3">
      <c r="A5" s="14" t="s">
        <v>20</v>
      </c>
      <c r="B5" s="20">
        <v>23822</v>
      </c>
    </row>
    <row r="6" spans="1:2" x14ac:dyDescent="0.3">
      <c r="A6" s="14" t="s">
        <v>23</v>
      </c>
      <c r="B6" s="20">
        <v>29415</v>
      </c>
    </row>
    <row r="7" spans="1:2" x14ac:dyDescent="0.3">
      <c r="A7" s="14" t="s">
        <v>21</v>
      </c>
      <c r="B7" s="20">
        <v>20906</v>
      </c>
    </row>
    <row r="8" spans="1:2" x14ac:dyDescent="0.3">
      <c r="A8" s="14" t="s">
        <v>24</v>
      </c>
      <c r="B8" s="20">
        <v>33575</v>
      </c>
    </row>
    <row r="9" spans="1:2" x14ac:dyDescent="0.3">
      <c r="A9" s="14" t="s">
        <v>19</v>
      </c>
      <c r="B9" s="20">
        <v>24445</v>
      </c>
    </row>
    <row r="10" spans="1:2" x14ac:dyDescent="0.3">
      <c r="A10" s="14" t="s">
        <v>30</v>
      </c>
      <c r="B10" s="20">
        <v>154297</v>
      </c>
    </row>
    <row r="12" spans="1:2" x14ac:dyDescent="0.3">
      <c r="A12" s="13" t="s">
        <v>29</v>
      </c>
      <c r="B12" t="s">
        <v>31</v>
      </c>
    </row>
    <row r="13" spans="1:2" x14ac:dyDescent="0.3">
      <c r="A13" s="14" t="s">
        <v>11</v>
      </c>
      <c r="B13" s="20">
        <v>31497</v>
      </c>
    </row>
    <row r="14" spans="1:2" x14ac:dyDescent="0.3">
      <c r="A14" s="14" t="s">
        <v>7</v>
      </c>
      <c r="B14" s="20">
        <v>19989</v>
      </c>
    </row>
    <row r="15" spans="1:2" x14ac:dyDescent="0.3">
      <c r="A15" s="14" t="s">
        <v>8</v>
      </c>
      <c r="B15" s="20">
        <v>17281</v>
      </c>
    </row>
    <row r="16" spans="1:2" x14ac:dyDescent="0.3">
      <c r="A16" s="14" t="s">
        <v>9</v>
      </c>
      <c r="B16" s="20">
        <v>22355</v>
      </c>
    </row>
    <row r="17" spans="1:3" x14ac:dyDescent="0.3">
      <c r="A17" s="14" t="s">
        <v>10</v>
      </c>
      <c r="B17" s="20">
        <v>36491</v>
      </c>
    </row>
    <row r="18" spans="1:3" x14ac:dyDescent="0.3">
      <c r="A18" s="14" t="s">
        <v>25</v>
      </c>
      <c r="B18" s="20">
        <v>26684</v>
      </c>
    </row>
    <row r="19" spans="1:3" x14ac:dyDescent="0.3">
      <c r="A19" s="14" t="s">
        <v>30</v>
      </c>
      <c r="B19" s="20">
        <v>154297</v>
      </c>
    </row>
    <row r="21" spans="1:3" x14ac:dyDescent="0.3">
      <c r="A21" t="s">
        <v>31</v>
      </c>
      <c r="C21" t="s">
        <v>40</v>
      </c>
    </row>
    <row r="22" spans="1:3" x14ac:dyDescent="0.3">
      <c r="A22" s="20">
        <v>154297</v>
      </c>
      <c r="C22" s="19">
        <f>GETPIVOTDATA("Revenue USD",$A$21)</f>
        <v>154297</v>
      </c>
    </row>
    <row r="24" spans="1:3" x14ac:dyDescent="0.3">
      <c r="A24" t="s">
        <v>42</v>
      </c>
    </row>
    <row r="25" spans="1:3" x14ac:dyDescent="0.3">
      <c r="A25" s="20">
        <v>3009</v>
      </c>
      <c r="C25">
        <f>GETPIVOTDATA("Enrollments",$A$24)</f>
        <v>3009</v>
      </c>
    </row>
    <row r="27" spans="1:3" x14ac:dyDescent="0.3">
      <c r="A27" t="s">
        <v>38</v>
      </c>
    </row>
    <row r="28" spans="1:3" x14ac:dyDescent="0.3">
      <c r="A28" s="20">
        <v>45</v>
      </c>
      <c r="C28">
        <f>GETPIVOTDATA("Course Name",$A$27)</f>
        <v>45</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FBD49-4E5B-4115-8E14-7775EE905E7A}">
  <dimension ref="A1"/>
  <sheetViews>
    <sheetView tabSelected="1" workbookViewId="0">
      <selection activeCell="N30" sqref="N3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Course Data</vt:lpstr>
      <vt:lpstr>Sheet6</vt:lpstr>
      <vt:lpstr>Sheet5</vt:lpstr>
      <vt:lpstr>Sheet1</vt:lpstr>
      <vt:lpstr>Sheet2</vt:lpstr>
      <vt:lpstr>Sheet3</vt:lpstr>
      <vt:lpstr>Detail1</vt:lpstr>
      <vt:lpstr>Sheet4</vt:lpstr>
      <vt:lpstr>Sheet8</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Hari Rongali</cp:lastModifiedBy>
  <dcterms:created xsi:type="dcterms:W3CDTF">2015-06-05T18:17:20Z</dcterms:created>
  <dcterms:modified xsi:type="dcterms:W3CDTF">2026-06-16T04:43:09Z</dcterms:modified>
</cp:coreProperties>
</file>